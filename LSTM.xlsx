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2" autoFilterDateGrouping="1"/>
  </bookViews>
  <sheets>
    <sheet name="Forget Gate" sheetId="1" state="visible" r:id="rId1"/>
    <sheet name="Input Gate" sheetId="2" state="visible" r:id="rId2"/>
    <sheet name="Cell State &amp; Output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00"/>
  </numFmts>
  <fonts count="23">
    <font>
      <name val="Calibri"/>
      <charset val="1"/>
      <family val="2"/>
      <color theme="1"/>
      <sz val="11"/>
    </font>
    <font>
      <name val="Arial"/>
      <charset val="1"/>
      <b val="1"/>
      <sz val="12"/>
    </font>
    <font>
      <name val="Arial"/>
      <charset val="1"/>
      <b val="1"/>
      <sz val="14"/>
    </font>
    <font>
      <name val="Arial"/>
      <charset val="1"/>
      <b val="1"/>
      <color rgb="FFFFFFFF"/>
      <sz val="10"/>
    </font>
    <font>
      <name val="Arial"/>
      <charset val="1"/>
      <b val="1"/>
      <color rgb="FF000000"/>
      <sz val="10"/>
    </font>
    <font>
      <name val="Arial"/>
      <charset val="1"/>
      <b val="1"/>
      <sz val="10"/>
    </font>
    <font>
      <name val="Arial"/>
      <charset val="1"/>
      <color rgb="FF000000"/>
      <sz val="10"/>
    </font>
    <font>
      <name val="Arial"/>
      <charset val="1"/>
      <i val="1"/>
      <sz val="11"/>
    </font>
    <font>
      <name val="Arial"/>
      <charset val="1"/>
      <b val="1"/>
      <sz val="11"/>
    </font>
    <font>
      <name val="Arial"/>
      <family val="2"/>
      <i val="1"/>
      <sz val="16"/>
    </font>
    <font>
      <name val="Arial"/>
      <family val="2"/>
      <b val="1"/>
      <sz val="14"/>
    </font>
    <font>
      <name val="Arial"/>
      <family val="2"/>
      <b val="1"/>
      <sz val="12"/>
    </font>
    <font>
      <name val="Calibri"/>
      <family val="2"/>
      <b val="1"/>
      <color theme="1"/>
      <sz val="11"/>
    </font>
    <font>
      <name val="Arial"/>
      <family val="2"/>
      <b val="1"/>
      <sz val="10"/>
    </font>
    <font>
      <name val="Arial"/>
      <family val="2"/>
      <color theme="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Arial"/>
      <family val="2"/>
      <b val="1"/>
      <color theme="0"/>
      <sz val="10"/>
    </font>
    <font>
      <name val="Arial"/>
      <family val="2"/>
      <sz val="11"/>
    </font>
    <font>
      <name val="Calibri"/>
      <family val="2"/>
      <b val="1"/>
      <color theme="1"/>
      <sz val="14"/>
    </font>
    <font>
      <name val="Arial"/>
      <family val="2"/>
      <i val="1"/>
      <sz val="11"/>
    </font>
    <font>
      <name val="Calibri"/>
      <family val="2"/>
      <b val="1"/>
      <sz val="14"/>
      <scheme val="minor"/>
    </font>
    <font>
      <name val="Arial"/>
      <family val="2"/>
      <color rgb="FF000000"/>
      <sz val="10"/>
    </font>
  </fonts>
  <fills count="34">
    <fill>
      <patternFill/>
    </fill>
    <fill>
      <patternFill patternType="gray125"/>
    </fill>
    <fill>
      <patternFill patternType="solid">
        <fgColor rgb="FFFFA500"/>
        <bgColor rgb="FFFFCC00"/>
      </patternFill>
    </fill>
    <fill>
      <patternFill patternType="solid">
        <fgColor rgb="FFADD8E6"/>
        <bgColor rgb="FFD3D3D3"/>
      </patternFill>
    </fill>
    <fill>
      <patternFill patternType="solid">
        <fgColor rgb="FF90EE90"/>
        <bgColor rgb="FFADD8E6"/>
      </patternFill>
    </fill>
    <fill>
      <patternFill patternType="solid">
        <fgColor theme="6" tint="0.5999938962981048"/>
        <bgColor rgb="FFFFCC00"/>
      </patternFill>
    </fill>
    <fill>
      <patternFill patternType="solid">
        <fgColor theme="9" tint="-0.249977111117893"/>
        <bgColor rgb="FFFFCC00"/>
      </patternFill>
    </fill>
    <fill>
      <patternFill patternType="solid">
        <fgColor theme="3" tint="0.5999938962981048"/>
        <bgColor rgb="FFD3D3D3"/>
      </patternFill>
    </fill>
    <fill>
      <patternFill patternType="solid">
        <fgColor theme="9"/>
        <bgColor rgb="FFD3D3D3"/>
      </patternFill>
    </fill>
    <fill>
      <patternFill patternType="solid">
        <fgColor theme="3" tint="0.3999755851924192"/>
        <bgColor rgb="FFD3D3D3"/>
      </patternFill>
    </fill>
    <fill>
      <patternFill patternType="solid">
        <fgColor theme="3" tint="0.7999816888943144"/>
        <bgColor rgb="FFD3D3D3"/>
      </patternFill>
    </fill>
    <fill>
      <patternFill patternType="solid">
        <fgColor rgb="FFFFC000"/>
        <bgColor rgb="FFD3D3D3"/>
      </patternFill>
    </fill>
    <fill>
      <patternFill patternType="solid">
        <fgColor theme="2" tint="-0.249977111117893"/>
        <bgColor rgb="FFADD8E6"/>
      </patternFill>
    </fill>
    <fill>
      <patternFill patternType="solid">
        <fgColor theme="9" tint="-0.249977111117893"/>
        <bgColor rgb="FFADD8E6"/>
      </patternFill>
    </fill>
    <fill>
      <patternFill patternType="solid">
        <fgColor theme="2" tint="-0.249977111117893"/>
        <bgColor rgb="FFFFFF00"/>
      </patternFill>
    </fill>
    <fill>
      <patternFill patternType="solid">
        <fgColor theme="9" tint="-0.249977111117893"/>
        <bgColor rgb="FFFFFF00"/>
      </patternFill>
    </fill>
    <fill>
      <patternFill patternType="solid">
        <fgColor theme="2" tint="-0.09997863704336681"/>
        <bgColor rgb="FFC0C0C0"/>
      </patternFill>
    </fill>
    <fill>
      <patternFill patternType="solid">
        <fgColor theme="2" tint="-0.249977111117893"/>
        <bgColor rgb="FFC0C0C0"/>
      </patternFill>
    </fill>
    <fill>
      <patternFill patternType="solid">
        <fgColor theme="2" tint="-0.499984740745262"/>
        <bgColor rgb="FF33CC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CC00"/>
      </patternFill>
    </fill>
    <fill>
      <patternFill patternType="solid">
        <fgColor theme="2" tint="-0.09997863704336681"/>
        <bgColor rgb="FFFFCC00"/>
      </patternFill>
    </fill>
    <fill>
      <patternFill patternType="solid">
        <fgColor theme="9" tint="-0.249977111117893"/>
        <bgColor rgb="FFD3D3D3"/>
      </patternFill>
    </fill>
    <fill>
      <patternFill patternType="solid">
        <fgColor theme="2"/>
        <bgColor rgb="FFD3D3D3"/>
      </patternFill>
    </fill>
    <fill>
      <patternFill patternType="solid">
        <fgColor theme="0"/>
        <bgColor rgb="FFC0C0C0"/>
      </patternFill>
    </fill>
    <fill>
      <patternFill patternType="solid">
        <fgColor rgb="FFFFFF00"/>
        <bgColor rgb="FF33CCCC"/>
      </patternFill>
    </fill>
    <fill>
      <patternFill patternType="solid">
        <fgColor theme="5" tint="-0.249977111117893"/>
        <bgColor rgb="FF33CCCC"/>
      </patternFill>
    </fill>
    <fill>
      <patternFill patternType="solid">
        <fgColor theme="4" tint="0.7999816888943144"/>
        <bgColor rgb="FFD3D3D3"/>
      </patternFill>
    </fill>
    <fill>
      <patternFill patternType="solid">
        <fgColor theme="5"/>
        <bgColor rgb="FFFFCC00"/>
      </patternFill>
    </fill>
    <fill>
      <patternFill patternType="solid">
        <fgColor theme="0" tint="-0.1499984740745262"/>
        <bgColor rgb="FFD3D3D3"/>
      </patternFill>
    </fill>
    <fill>
      <patternFill patternType="solid">
        <fgColor theme="1" tint="0.3499862666707358"/>
        <bgColor rgb="FF33CCCC"/>
      </patternFill>
    </fill>
    <fill>
      <patternFill patternType="solid">
        <fgColor theme="6" tint="-0.249977111117893"/>
        <bgColor rgb="FF33CCCC"/>
      </patternFill>
    </fill>
    <fill>
      <patternFill patternType="solid">
        <fgColor theme="9" tint="-0.499984740745262"/>
        <bgColor rgb="FFFFFF00"/>
      </patternFill>
    </fill>
    <fill>
      <patternFill patternType="solid">
        <fgColor theme="9" tint="-0.499984740745262"/>
        <bgColor rgb="FF33CCCC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164" fontId="6" fillId="16" borderId="1" applyAlignment="1" pivotButton="0" quotePrefix="0" xfId="0">
      <alignment horizontal="center" vertical="center"/>
    </xf>
    <xf numFmtId="164" fontId="6" fillId="17" borderId="1" applyAlignment="1" pivotButton="0" quotePrefix="0" xfId="0">
      <alignment horizontal="center" vertical="center"/>
    </xf>
    <xf numFmtId="164" fontId="14" fillId="6" borderId="1" applyAlignment="1" pivotButton="0" quotePrefix="0" xfId="0">
      <alignment horizontal="center" vertical="center"/>
    </xf>
    <xf numFmtId="164" fontId="6" fillId="21" borderId="1" applyAlignment="1" pivotButton="0" quotePrefix="0" xfId="0">
      <alignment horizontal="center" vertical="center"/>
    </xf>
    <xf numFmtId="164" fontId="14" fillId="22" borderId="1" applyAlignment="1" pivotButton="0" quotePrefix="0" xfId="0">
      <alignment horizontal="center" vertical="center"/>
    </xf>
    <xf numFmtId="164" fontId="6" fillId="23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164" fontId="14" fillId="13" borderId="1" applyAlignment="1" pivotButton="0" quotePrefix="0" xfId="0">
      <alignment horizontal="center" vertical="center"/>
    </xf>
    <xf numFmtId="164" fontId="14" fillId="15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5" fillId="24" borderId="0" applyAlignment="1" pivotButton="0" quotePrefix="0" xfId="0">
      <alignment horizontal="center"/>
    </xf>
    <xf numFmtId="0" fontId="4" fillId="24" borderId="3" applyAlignment="1" pivotButton="0" quotePrefix="0" xfId="0">
      <alignment horizontal="center" vertical="center"/>
    </xf>
    <xf numFmtId="0" fontId="0" fillId="0" borderId="4" pivotButton="0" quotePrefix="0" xfId="0"/>
    <xf numFmtId="164" fontId="6" fillId="16" borderId="5" applyAlignment="1" pivotButton="0" quotePrefix="0" xfId="0">
      <alignment horizontal="center" vertical="center"/>
    </xf>
    <xf numFmtId="164" fontId="6" fillId="17" borderId="5" applyAlignment="1" pivotButton="0" quotePrefix="0" xfId="0">
      <alignment horizontal="center" vertical="center"/>
    </xf>
    <xf numFmtId="164" fontId="14" fillId="15" borderId="5" applyAlignment="1" pivotButton="0" quotePrefix="0" xfId="0">
      <alignment horizontal="center" vertical="center"/>
    </xf>
    <xf numFmtId="0" fontId="0" fillId="19" borderId="5" applyAlignment="1" pivotButton="0" quotePrefix="0" xfId="0">
      <alignment horizontal="center"/>
    </xf>
    <xf numFmtId="0" fontId="5" fillId="25" borderId="5" applyAlignment="1" pivotButton="0" quotePrefix="0" xfId="0">
      <alignment horizontal="center"/>
    </xf>
    <xf numFmtId="0" fontId="16" fillId="24" borderId="1" applyAlignment="1" pivotButton="0" quotePrefix="0" xfId="0">
      <alignment horizontal="center" vertical="center"/>
    </xf>
    <xf numFmtId="0" fontId="5" fillId="24" borderId="5" applyAlignment="1" pivotButton="0" quotePrefix="0" xfId="0">
      <alignment horizontal="center"/>
    </xf>
    <xf numFmtId="164" fontId="14" fillId="26" borderId="5" applyAlignment="1" pivotButton="0" quotePrefix="0" xfId="0">
      <alignment horizontal="center" vertical="center"/>
    </xf>
    <xf numFmtId="164" fontId="14" fillId="18" borderId="5" applyAlignment="1" pivotButton="0" quotePrefix="0" xfId="0">
      <alignment horizontal="center" vertical="center"/>
    </xf>
    <xf numFmtId="164" fontId="6" fillId="21" borderId="2" applyAlignment="1" pivotButton="0" quotePrefix="0" xfId="0">
      <alignment horizontal="center" vertical="center"/>
    </xf>
    <xf numFmtId="0" fontId="13" fillId="20" borderId="5" applyAlignment="1" pivotButton="0" quotePrefix="0" xfId="0">
      <alignment horizontal="right" vertical="center"/>
    </xf>
    <xf numFmtId="164" fontId="14" fillId="6" borderId="2" applyAlignment="1" pivotButton="0" quotePrefix="0" xfId="0">
      <alignment horizontal="center" vertical="center"/>
    </xf>
    <xf numFmtId="0" fontId="15" fillId="2" borderId="5" applyAlignment="1" pivotButton="0" quotePrefix="0" xfId="0">
      <alignment horizontal="right" vertical="center"/>
    </xf>
    <xf numFmtId="164" fontId="14" fillId="22" borderId="2" applyAlignment="1" pivotButton="0" quotePrefix="0" xfId="0">
      <alignment horizontal="center" vertical="center"/>
    </xf>
    <xf numFmtId="0" fontId="4" fillId="3" borderId="5" applyAlignment="1" pivotButton="0" quotePrefix="0" xfId="0">
      <alignment horizontal="right" vertical="center"/>
    </xf>
    <xf numFmtId="164" fontId="6" fillId="23" borderId="2" applyAlignment="1" pivotButton="0" quotePrefix="0" xfId="0">
      <alignment horizontal="center" vertical="center"/>
    </xf>
    <xf numFmtId="0" fontId="4" fillId="9" borderId="5" applyAlignment="1" pivotButton="0" quotePrefix="0" xfId="0">
      <alignment horizontal="right" vertical="center"/>
    </xf>
    <xf numFmtId="164" fontId="6" fillId="11" borderId="2" applyAlignment="1" pivotButton="0" quotePrefix="0" xfId="0">
      <alignment horizontal="center" vertical="center"/>
    </xf>
    <xf numFmtId="0" fontId="4" fillId="7" borderId="5" applyAlignment="1" pivotButton="0" quotePrefix="0" xfId="0">
      <alignment horizontal="right" vertical="center"/>
    </xf>
    <xf numFmtId="164" fontId="14" fillId="13" borderId="2" applyAlignment="1" pivotButton="0" quotePrefix="0" xfId="0">
      <alignment horizontal="center" vertical="center"/>
    </xf>
    <xf numFmtId="0" fontId="4" fillId="4" borderId="5" applyAlignment="1" pivotButton="0" quotePrefix="0" xfId="0">
      <alignment horizontal="right" vertical="center"/>
    </xf>
    <xf numFmtId="164" fontId="14" fillId="15" borderId="2" applyAlignment="1" pivotButton="0" quotePrefix="0" xfId="0">
      <alignment horizontal="center" vertical="center"/>
    </xf>
    <xf numFmtId="0" fontId="4" fillId="14" borderId="5" applyAlignment="1" pivotButton="0" quotePrefix="0" xfId="0">
      <alignment horizontal="left" vertical="center"/>
    </xf>
    <xf numFmtId="0" fontId="16" fillId="7" borderId="6" applyAlignment="1" pivotButton="0" quotePrefix="0" xfId="0">
      <alignment horizontal="right" vertical="center"/>
    </xf>
    <xf numFmtId="164" fontId="6" fillId="27" borderId="5" applyAlignment="1" pivotButton="0" quotePrefix="0" xfId="0">
      <alignment horizontal="center" vertical="center"/>
    </xf>
    <xf numFmtId="164" fontId="6" fillId="11" borderId="5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  <xf numFmtId="0" fontId="3" fillId="6" borderId="5" applyAlignment="1" pivotButton="0" quotePrefix="0" xfId="0">
      <alignment horizontal="right" vertical="center"/>
    </xf>
    <xf numFmtId="164" fontId="4" fillId="8" borderId="2" applyAlignment="1" pivotButton="0" quotePrefix="0" xfId="0">
      <alignment horizontal="center" vertical="center"/>
    </xf>
    <xf numFmtId="164" fontId="6" fillId="10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0" fontId="4" fillId="12" borderId="5" applyAlignment="1" pivotButton="0" quotePrefix="0" xfId="0">
      <alignment horizontal="right" vertical="center"/>
    </xf>
    <xf numFmtId="0" fontId="12" fillId="19" borderId="5" applyAlignment="1" pivotButton="0" quotePrefix="0" xfId="0">
      <alignment horizontal="center"/>
    </xf>
    <xf numFmtId="0" fontId="13" fillId="20" borderId="8" applyAlignment="1" pivotButton="0" quotePrefix="0" xfId="0">
      <alignment horizontal="right" vertical="center"/>
    </xf>
    <xf numFmtId="164" fontId="14" fillId="28" borderId="5" applyAlignment="1" pivotButton="0" quotePrefix="0" xfId="0">
      <alignment horizontal="center" vertical="center"/>
    </xf>
    <xf numFmtId="164" fontId="14" fillId="6" borderId="5" applyAlignment="1" pivotButton="0" quotePrefix="0" xfId="0">
      <alignment horizontal="center" vertical="center"/>
    </xf>
    <xf numFmtId="0" fontId="4" fillId="10" borderId="5" applyAlignment="1" pivotButton="0" quotePrefix="0" xfId="0">
      <alignment horizontal="right" vertical="center"/>
    </xf>
    <xf numFmtId="164" fontId="14" fillId="22" borderId="5" applyAlignment="1" pivotButton="0" quotePrefix="0" xfId="0">
      <alignment horizontal="center" vertical="center"/>
    </xf>
    <xf numFmtId="0" fontId="4" fillId="7" borderId="8" applyAlignment="1" pivotButton="0" quotePrefix="0" xfId="0">
      <alignment horizontal="right" vertical="center"/>
    </xf>
    <xf numFmtId="164" fontId="6" fillId="29" borderId="5" applyAlignment="1" pivotButton="0" quotePrefix="0" xfId="0">
      <alignment horizontal="center" vertical="center"/>
    </xf>
    <xf numFmtId="164" fontId="14" fillId="13" borderId="5" applyAlignment="1" pivotButton="0" quotePrefix="0" xfId="0">
      <alignment horizontal="center" vertical="center"/>
    </xf>
    <xf numFmtId="0" fontId="4" fillId="14" borderId="8" applyAlignment="1" pivotButton="0" quotePrefix="0" xfId="0">
      <alignment horizontal="left" vertical="center"/>
    </xf>
    <xf numFmtId="0" fontId="20" fillId="0" borderId="0" pivotButton="0" quotePrefix="0" xfId="0"/>
    <xf numFmtId="164" fontId="22" fillId="16" borderId="5" applyAlignment="1" pivotButton="0" quotePrefix="0" xfId="0">
      <alignment horizontal="center" vertical="center"/>
    </xf>
    <xf numFmtId="164" fontId="22" fillId="17" borderId="5" applyAlignment="1" pivotButton="0" quotePrefix="0" xfId="0">
      <alignment horizontal="center" vertical="center"/>
    </xf>
    <xf numFmtId="0" fontId="8" fillId="25" borderId="5" applyAlignment="1" pivotButton="0" quotePrefix="0" xfId="0">
      <alignment horizontal="center"/>
    </xf>
    <xf numFmtId="164" fontId="14" fillId="30" borderId="5" applyAlignment="1" pivotButton="0" quotePrefix="0" xfId="0">
      <alignment horizontal="center" vertical="center"/>
    </xf>
    <xf numFmtId="164" fontId="14" fillId="30" borderId="5" applyAlignment="1" pivotButton="0" quotePrefix="0" xfId="0">
      <alignment horizontal="center"/>
    </xf>
    <xf numFmtId="164" fontId="14" fillId="31" borderId="5" applyAlignment="1" pivotButton="0" quotePrefix="0" xfId="0">
      <alignment horizontal="center" vertical="center"/>
    </xf>
    <xf numFmtId="164" fontId="14" fillId="31" borderId="5" applyAlignment="1" pivotButton="0" quotePrefix="0" xfId="0">
      <alignment horizontal="center"/>
    </xf>
    <xf numFmtId="0" fontId="17" fillId="32" borderId="1" applyAlignment="1" pivotButton="0" quotePrefix="0" xfId="0">
      <alignment horizontal="center" vertical="center"/>
    </xf>
    <xf numFmtId="164" fontId="14" fillId="32" borderId="1" applyAlignment="1" pivotButton="0" quotePrefix="0" xfId="0">
      <alignment horizontal="center" vertical="center"/>
    </xf>
    <xf numFmtId="164" fontId="14" fillId="33" borderId="7" applyAlignment="1" pivotButton="0" quotePrefix="0" xfId="0">
      <alignment horizontal="center" vertical="center"/>
    </xf>
    <xf numFmtId="0" fontId="17" fillId="33" borderId="5" applyAlignment="1" pivotButton="0" quotePrefix="0" xfId="0">
      <alignment horizontal="center"/>
    </xf>
    <xf numFmtId="164" fontId="14" fillId="32" borderId="5" applyAlignment="1" pivotButton="0" quotePrefix="0" xfId="0">
      <alignment horizontal="center" vertical="center"/>
    </xf>
    <xf numFmtId="164" fontId="14" fillId="33" borderId="5" applyAlignment="1" pivotButton="0" quotePrefix="0" xfId="0">
      <alignment horizontal="center" vertical="center"/>
    </xf>
    <xf numFmtId="164" fontId="14" fillId="33" borderId="1" applyAlignment="1" pivotButton="0" quotePrefix="0" xfId="0">
      <alignment horizontal="center" vertical="center"/>
    </xf>
    <xf numFmtId="0" fontId="18" fillId="19" borderId="1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0" applyAlignment="1" pivotButton="0" quotePrefix="0" xfId="0">
      <alignment horizontal="left"/>
    </xf>
    <xf numFmtId="0" fontId="17" fillId="32" borderId="5" applyAlignment="1" pivotButton="0" quotePrefix="0" xfId="0">
      <alignment horizontal="center"/>
    </xf>
    <xf numFmtId="164" fontId="14" fillId="33" borderId="5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zoomScaleNormal="100" workbookViewId="0">
      <selection activeCell="M22" sqref="M22"/>
    </sheetView>
  </sheetViews>
  <sheetFormatPr baseColWidth="8" defaultColWidth="8.6640625" defaultRowHeight="14.4"/>
  <cols>
    <col width="24" customWidth="1" style="87" min="1" max="1"/>
    <col width="8" customWidth="1" style="87" min="2" max="7"/>
    <col width="9" customWidth="1" style="87" min="8" max="12"/>
    <col width="12.21875" customWidth="1" style="87" min="13" max="13"/>
    <col width="13.77734375" customWidth="1" style="87" min="14" max="14"/>
    <col width="9" customWidth="1" style="87" min="15" max="15"/>
  </cols>
  <sheetData>
    <row r="1" ht="15" customHeight="1" s="87">
      <c r="A1" s="2" t="n"/>
      <c r="B1" s="2" t="n"/>
      <c r="C1" s="2" t="n"/>
      <c r="D1" s="86" t="n"/>
      <c r="I1" s="2" t="n"/>
      <c r="J1" s="86" t="n"/>
      <c r="M1" s="2" t="n"/>
      <c r="N1" s="86" t="n"/>
    </row>
    <row r="2" ht="17.25" customHeight="1" s="87">
      <c r="A2" s="3" t="n"/>
      <c r="B2" s="90" t="inlineStr">
        <is>
          <t>Forget Gate</t>
        </is>
      </c>
      <c r="D2" s="3" t="n"/>
      <c r="E2" s="3" t="n"/>
      <c r="F2" s="3" t="n"/>
      <c r="G2" s="3" t="n"/>
    </row>
    <row r="4" ht="19.5" customHeight="1" s="87">
      <c r="A4" s="49" t="inlineStr">
        <is>
          <t>h_(t-1)</t>
        </is>
      </c>
      <c r="B4" s="48" t="n">
        <v>0.1</v>
      </c>
      <c r="C4" s="5" t="n">
        <v>1</v>
      </c>
      <c r="D4" s="5" t="n">
        <v>0.5</v>
      </c>
      <c r="N4" s="18" t="inlineStr">
        <is>
          <t>Bias Added</t>
        </is>
      </c>
      <c r="O4" s="72" t="inlineStr">
        <is>
          <t>Sigmoid</t>
        </is>
      </c>
    </row>
    <row r="5" ht="15" customHeight="1" s="87">
      <c r="L5" s="1" t="inlineStr">
        <is>
          <t>Cell 1</t>
        </is>
      </c>
      <c r="M5" s="9">
        <f>MMULT(B8:G8,B16:B21)</f>
        <v/>
      </c>
      <c r="N5" s="10">
        <f>M5+B12</f>
        <v/>
      </c>
      <c r="O5" s="73">
        <f>1/(1+EXP(-N5))</f>
        <v/>
      </c>
    </row>
    <row r="6" ht="19.5" customHeight="1" s="87">
      <c r="A6" s="40" t="inlineStr">
        <is>
          <t>x_(t)</t>
        </is>
      </c>
      <c r="B6" s="50" t="n">
        <v>1.256</v>
      </c>
      <c r="C6" s="6" t="n">
        <v>0.2</v>
      </c>
      <c r="D6" s="6" t="n">
        <v>0.8</v>
      </c>
      <c r="L6" s="1" t="inlineStr">
        <is>
          <t>Cell 2</t>
        </is>
      </c>
      <c r="M6" s="9">
        <f>MMULT(B9:G9,B16:B21)</f>
        <v/>
      </c>
      <c r="N6" s="10">
        <f>M6+C12</f>
        <v/>
      </c>
      <c r="O6" s="73">
        <f>1/(1+EXP(-N6))</f>
        <v/>
      </c>
    </row>
    <row r="7" ht="15" customHeight="1" s="87">
      <c r="L7" s="1" t="inlineStr">
        <is>
          <t>Cell 3</t>
        </is>
      </c>
      <c r="M7" s="9">
        <f>MMULT(B10:G10,B16:B21)</f>
        <v/>
      </c>
      <c r="N7" s="10">
        <f>M7+D12</f>
        <v/>
      </c>
      <c r="O7" s="74">
        <f>1/(1+EXP(-N7))</f>
        <v/>
      </c>
    </row>
    <row r="8" ht="15" customHeight="1" s="87">
      <c r="A8" s="38" t="inlineStr">
        <is>
          <t>W_f</t>
        </is>
      </c>
      <c r="B8" s="51" t="n">
        <v>0</v>
      </c>
      <c r="C8" s="7" t="n">
        <v>0</v>
      </c>
      <c r="D8" s="7" t="n">
        <v>0</v>
      </c>
      <c r="E8" s="7" t="n">
        <v>-0.025</v>
      </c>
      <c r="F8" s="7" t="n">
        <v>0</v>
      </c>
      <c r="G8" s="7" t="n">
        <v>0</v>
      </c>
      <c r="O8" s="54" t="inlineStr">
        <is>
          <t>f_t</t>
        </is>
      </c>
    </row>
    <row r="9" ht="15" customHeight="1" s="87">
      <c r="B9" s="7" t="n">
        <v>-0.03</v>
      </c>
      <c r="C9" s="7" t="n">
        <v>0.9</v>
      </c>
      <c r="D9" s="7" t="n">
        <v>-0.8</v>
      </c>
      <c r="E9" s="7" t="n">
        <v>-0.5</v>
      </c>
      <c r="F9" s="7" t="n">
        <v>0</v>
      </c>
      <c r="G9" s="7" t="n">
        <v>0</v>
      </c>
    </row>
    <row r="10" ht="15" customHeight="1" s="87">
      <c r="B10" s="7" t="n">
        <v>0.07000000000000001</v>
      </c>
      <c r="C10" s="7" t="n">
        <v>0.6</v>
      </c>
      <c r="D10" s="7" t="n">
        <v>0.2</v>
      </c>
      <c r="E10" s="7" t="n">
        <v>1</v>
      </c>
      <c r="F10" s="7" t="n">
        <v>1</v>
      </c>
      <c r="G10" s="7" t="n">
        <v>1</v>
      </c>
      <c r="K10" s="4" t="n"/>
      <c r="L10" s="4" t="n"/>
      <c r="M10" s="4" t="n"/>
      <c r="N10" s="4" t="n"/>
      <c r="O10" s="4" t="n"/>
    </row>
    <row r="12" ht="15" customHeight="1" s="87">
      <c r="A12" s="36" t="inlineStr">
        <is>
          <t>b_f</t>
        </is>
      </c>
      <c r="B12" s="52" t="n">
        <v>0.01</v>
      </c>
      <c r="C12" s="8" t="n">
        <v>0.05</v>
      </c>
      <c r="D12" s="8" t="n">
        <v>0.01</v>
      </c>
    </row>
    <row r="13" ht="14.4" customHeight="1" s="87">
      <c r="M13" s="91" t="inlineStr">
        <is>
          <t>f_t = σ(Wf·[h_(t-1), x_t] + b_f)</t>
        </is>
      </c>
    </row>
    <row r="14" ht="15" customHeight="1" s="87">
      <c r="A14" s="53" t="inlineStr">
        <is>
          <t>h_(t-1) + x_(t)</t>
        </is>
      </c>
      <c r="B14" s="41">
        <f>B4</f>
        <v/>
      </c>
      <c r="C14" s="16">
        <f>C4</f>
        <v/>
      </c>
      <c r="D14" s="16">
        <f>D4</f>
        <v/>
      </c>
      <c r="E14" s="16">
        <f>B6</f>
        <v/>
      </c>
      <c r="F14" s="16">
        <f>C6</f>
        <v/>
      </c>
      <c r="G14" s="16">
        <f>D6</f>
        <v/>
      </c>
    </row>
    <row r="16" ht="15" customHeight="1" s="87">
      <c r="A16" s="44" t="inlineStr">
        <is>
          <t>Transpose(h_(t-1)+x_(t))</t>
        </is>
      </c>
      <c r="B16" s="43">
        <f>B14</f>
        <v/>
      </c>
    </row>
    <row r="17" ht="15" customHeight="1" s="87">
      <c r="B17" s="17">
        <f>C14</f>
        <v/>
      </c>
    </row>
    <row r="18" ht="15" customHeight="1" s="87">
      <c r="B18" s="17">
        <f>D14</f>
        <v/>
      </c>
    </row>
    <row r="19" ht="15" customHeight="1" s="87">
      <c r="B19" s="17">
        <f>E14</f>
        <v/>
      </c>
    </row>
    <row r="20" ht="15" customHeight="1" s="87">
      <c r="B20" s="17">
        <f>F14</f>
        <v/>
      </c>
    </row>
    <row r="21" ht="15" customHeight="1" s="87">
      <c r="B21" s="17">
        <f>G14</f>
        <v/>
      </c>
    </row>
  </sheetData>
  <mergeCells count="5">
    <mergeCell ref="J1:L1"/>
    <mergeCell ref="B2:C2"/>
    <mergeCell ref="D1:H1"/>
    <mergeCell ref="N1:P1"/>
    <mergeCell ref="M13:Q1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"/>
  <sheetViews>
    <sheetView zoomScaleNormal="100" workbookViewId="0">
      <selection activeCell="F14" sqref="F14"/>
    </sheetView>
  </sheetViews>
  <sheetFormatPr baseColWidth="8" defaultColWidth="8.6640625" defaultRowHeight="14.4"/>
  <cols>
    <col width="24" customWidth="1" style="87" min="1" max="1"/>
    <col width="8" customWidth="1" style="87" min="2" max="7"/>
    <col width="9" customWidth="1" style="87" min="8" max="10"/>
    <col width="12" customWidth="1" style="87" min="11" max="11"/>
    <col width="10.44140625" customWidth="1" style="87" min="12" max="12"/>
    <col width="9" customWidth="1" style="87" min="13" max="13"/>
    <col width="12.109375" customWidth="1" style="87" min="14" max="14"/>
    <col width="9" customWidth="1" style="87" min="15" max="15"/>
    <col width="13.44140625" customWidth="1" style="87" min="16" max="16"/>
    <col width="10" customWidth="1" style="87" min="17" max="17"/>
    <col width="13.33203125" customWidth="1" style="87" min="18" max="18"/>
    <col width="10" customWidth="1" style="87" min="19" max="21"/>
  </cols>
  <sheetData>
    <row r="1" ht="15" customHeight="1" s="87">
      <c r="A1" s="2" t="n"/>
      <c r="B1" s="2" t="n"/>
      <c r="C1" s="2" t="n"/>
      <c r="D1" s="2" t="n"/>
      <c r="E1" s="86" t="n"/>
      <c r="J1" s="2" t="n"/>
      <c r="K1" s="86" t="n"/>
      <c r="N1" s="2" t="n"/>
      <c r="O1" s="86" t="n"/>
    </row>
    <row r="2" ht="17.25" customHeight="1" s="87">
      <c r="A2" s="3" t="n"/>
      <c r="B2" s="89" t="inlineStr">
        <is>
          <t>Input Gate</t>
        </is>
      </c>
      <c r="D2" s="3" t="n"/>
      <c r="E2" s="3" t="n"/>
      <c r="F2" s="3" t="n"/>
      <c r="G2" s="3" t="n"/>
    </row>
    <row r="3">
      <c r="N3" s="81" t="n"/>
      <c r="O3" s="81" t="n"/>
      <c r="P3" s="82" t="n"/>
      <c r="Q3" s="21" t="n"/>
    </row>
    <row r="4" ht="15" customHeight="1" s="87">
      <c r="A4" s="32" t="inlineStr">
        <is>
          <t>f_t</t>
        </is>
      </c>
      <c r="B4" s="33">
        <f>'Forget Gate'!O5</f>
        <v/>
      </c>
      <c r="K4" s="27" t="inlineStr">
        <is>
          <t>Bias Added</t>
        </is>
      </c>
      <c r="L4" s="72" t="inlineStr">
        <is>
          <t>Sigmoid</t>
        </is>
      </c>
      <c r="N4" s="20" t="n"/>
      <c r="O4" s="19" t="n"/>
      <c r="P4" s="28" t="inlineStr">
        <is>
          <t>Bias Added</t>
        </is>
      </c>
      <c r="Q4" s="75" t="inlineStr">
        <is>
          <t>Tanh</t>
        </is>
      </c>
      <c r="S4" s="26" t="inlineStr">
        <is>
          <t>i_t * C̃t</t>
        </is>
      </c>
      <c r="T4" s="26" t="inlineStr">
        <is>
          <t>C_t</t>
        </is>
      </c>
    </row>
    <row r="5" ht="15" customHeight="1" s="87">
      <c r="B5" s="11">
        <f>'Forget Gate'!O6</f>
        <v/>
      </c>
      <c r="I5" s="1" t="inlineStr">
        <is>
          <t>Cell 1</t>
        </is>
      </c>
      <c r="J5" s="9">
        <f>MMULT(B21:G21,B29:B34)</f>
        <v/>
      </c>
      <c r="K5" s="10">
        <f>J5+B25</f>
        <v/>
      </c>
      <c r="L5" s="73">
        <f>1/(1+EXP(-K5))</f>
        <v/>
      </c>
      <c r="N5" s="83" t="inlineStr">
        <is>
          <t>Cell 1</t>
        </is>
      </c>
      <c r="O5" s="22">
        <f>MMULT(I21:N21,B29:B34)</f>
        <v/>
      </c>
      <c r="P5" s="23">
        <f>O5+J25</f>
        <v/>
      </c>
      <c r="Q5" s="76">
        <f>TANH(P5)</f>
        <v/>
      </c>
      <c r="S5" s="29">
        <f>L5*Q5</f>
        <v/>
      </c>
      <c r="T5" s="30">
        <f>B13+S5</f>
        <v/>
      </c>
    </row>
    <row r="6" ht="15" customHeight="1" s="87">
      <c r="B6" s="11">
        <f>'Forget Gate'!O7</f>
        <v/>
      </c>
      <c r="I6" s="1" t="inlineStr">
        <is>
          <t>Cell 2</t>
        </is>
      </c>
      <c r="J6" s="9">
        <f>MMULT(B22:G22,B29:B34)</f>
        <v/>
      </c>
      <c r="K6" s="10">
        <f>J6+C25</f>
        <v/>
      </c>
      <c r="L6" s="73">
        <f>1/(1+EXP(-K6))</f>
        <v/>
      </c>
      <c r="N6" s="83" t="inlineStr">
        <is>
          <t>Cell 2</t>
        </is>
      </c>
      <c r="O6" s="22">
        <f>MMULT(I22:N22,B29:B34)</f>
        <v/>
      </c>
      <c r="P6" s="23">
        <f>O6+K25</f>
        <v/>
      </c>
      <c r="Q6" s="76">
        <f>TANH(P6)</f>
        <v/>
      </c>
      <c r="S6" s="29">
        <f>L6*Q6</f>
        <v/>
      </c>
      <c r="T6" s="30">
        <f>B14+S6</f>
        <v/>
      </c>
    </row>
    <row r="7" ht="15" customHeight="1" s="87">
      <c r="I7" s="1" t="inlineStr">
        <is>
          <t>Cell 3</t>
        </is>
      </c>
      <c r="J7" s="9">
        <f>MMULT(B23:G23,B29:B34)</f>
        <v/>
      </c>
      <c r="K7" s="10">
        <f>J7+D25</f>
        <v/>
      </c>
      <c r="L7" s="78">
        <f>1/(1+EXP(-K7))</f>
        <v/>
      </c>
      <c r="N7" s="83" t="inlineStr">
        <is>
          <t>Cell 3</t>
        </is>
      </c>
      <c r="O7" s="22">
        <f>MMULT(I23:N23,B29:B34)</f>
        <v/>
      </c>
      <c r="P7" s="23">
        <f>O7+L25</f>
        <v/>
      </c>
      <c r="Q7" s="77">
        <f>TANH(P7)</f>
        <v/>
      </c>
      <c r="S7" s="29">
        <f>L7*Q7</f>
        <v/>
      </c>
      <c r="T7" s="30">
        <f>B15+S7</f>
        <v/>
      </c>
    </row>
    <row r="8" ht="15" customHeight="1" s="87">
      <c r="A8" s="32" t="inlineStr">
        <is>
          <t>C_(t-1)</t>
        </is>
      </c>
      <c r="B8" s="31" t="n">
        <v>0.033</v>
      </c>
      <c r="I8" s="4" t="n"/>
      <c r="J8" s="4" t="n"/>
      <c r="K8" s="4" t="n"/>
      <c r="L8" s="79" t="inlineStr">
        <is>
          <t>i_t</t>
        </is>
      </c>
      <c r="N8" s="4" t="n"/>
      <c r="Q8" s="25" t="inlineStr">
        <is>
          <t>C̃t</t>
        </is>
      </c>
    </row>
    <row r="9" ht="15" customHeight="1" s="87">
      <c r="B9" s="12" t="n">
        <v>0.589</v>
      </c>
      <c r="L9" s="4" t="n"/>
      <c r="M9" s="4" t="n"/>
      <c r="N9" s="4" t="n"/>
      <c r="O9" s="4" t="n"/>
      <c r="P9" s="4" t="n"/>
    </row>
    <row r="10" ht="15" customHeight="1" s="87">
      <c r="B10" s="12" t="n">
        <v>0.924</v>
      </c>
      <c r="L10" s="4" t="n"/>
      <c r="M10" s="4" t="n"/>
      <c r="N10" s="4" t="n"/>
      <c r="O10" s="4" t="n"/>
      <c r="P10" s="4" t="n"/>
    </row>
    <row r="13" ht="15" customHeight="1" s="87">
      <c r="A13" s="32" t="inlineStr">
        <is>
          <t>f_t * C_(t-1)</t>
        </is>
      </c>
      <c r="B13" s="31">
        <f>B4*B8</f>
        <v/>
      </c>
      <c r="M13" s="80" t="n"/>
      <c r="P13" s="88" t="inlineStr">
        <is>
          <t>i_t = σ(Wi·[h_(t-1),x_t] + b_i)</t>
        </is>
      </c>
    </row>
    <row r="14" ht="15" customHeight="1" s="87">
      <c r="B14" s="12">
        <f>B5*B9</f>
        <v/>
      </c>
    </row>
    <row r="15" ht="15" customHeight="1" s="87">
      <c r="B15" s="12">
        <f>B6*B10</f>
        <v/>
      </c>
      <c r="P15" s="92" t="inlineStr">
        <is>
          <t>C̃t = tanh(WC·[h_(t-1),x_t] + bC)</t>
        </is>
      </c>
    </row>
    <row r="16"/>
    <row r="17" ht="15" customHeight="1" s="87">
      <c r="A17" s="34" t="inlineStr">
        <is>
          <t>h_(t-1)</t>
        </is>
      </c>
      <c r="B17" s="33">
        <f>'Forget Gate'!B4</f>
        <v/>
      </c>
      <c r="C17" s="11">
        <f>'Forget Gate'!C4</f>
        <v/>
      </c>
      <c r="D17" s="11">
        <f>'Forget Gate'!D4</f>
        <v/>
      </c>
      <c r="P17" s="88" t="inlineStr">
        <is>
          <t>C_t = f_t * C_(t-1) + i_t * C̃t</t>
        </is>
      </c>
    </row>
    <row r="18"/>
    <row r="19" ht="15" customHeight="1" s="87">
      <c r="A19" s="36" t="inlineStr">
        <is>
          <t>x_(t)</t>
        </is>
      </c>
      <c r="B19" s="35">
        <f>'Forget Gate'!B6</f>
        <v/>
      </c>
      <c r="C19" s="13">
        <f>'Forget Gate'!C6</f>
        <v/>
      </c>
      <c r="D19" s="13">
        <f>'Forget Gate'!D6</f>
        <v/>
      </c>
    </row>
    <row r="20" ht="15" customHeight="1" s="87">
      <c r="I20" s="45" t="inlineStr">
        <is>
          <t>W_C</t>
        </is>
      </c>
    </row>
    <row r="21" ht="15" customHeight="1" s="87">
      <c r="A21" s="38" t="inlineStr">
        <is>
          <t>W_i</t>
        </is>
      </c>
      <c r="B21" s="37" t="n">
        <v>0.659</v>
      </c>
      <c r="C21" s="14" t="n">
        <v>0.111</v>
      </c>
      <c r="D21" s="14" t="n">
        <v>0.287</v>
      </c>
      <c r="E21" s="14" t="n">
        <v>0.345</v>
      </c>
      <c r="F21" s="14" t="n">
        <v>0</v>
      </c>
      <c r="G21" s="14" t="n">
        <v>0.359</v>
      </c>
      <c r="I21" s="46" t="n">
        <v>0.356</v>
      </c>
      <c r="J21" s="46" t="n">
        <v>0.124</v>
      </c>
      <c r="K21" s="46" t="n">
        <v>0.222</v>
      </c>
      <c r="L21" s="46" t="n">
        <v>0.025</v>
      </c>
      <c r="M21" s="46" t="n">
        <v>0.365</v>
      </c>
      <c r="N21" s="46" t="n">
        <v>0.001</v>
      </c>
    </row>
    <row r="22" ht="15" customHeight="1" s="87">
      <c r="B22" s="14" t="n">
        <v>-0.236</v>
      </c>
      <c r="C22" s="14" t="n">
        <v>-1</v>
      </c>
      <c r="D22" s="14" t="n">
        <v>0.58</v>
      </c>
      <c r="E22" s="14" t="n">
        <v>-0.123</v>
      </c>
      <c r="F22" s="14" t="n">
        <v>-1</v>
      </c>
      <c r="G22" s="14" t="n">
        <v>0</v>
      </c>
      <c r="I22" s="46" t="n">
        <v>0.485</v>
      </c>
      <c r="J22" s="46" t="n">
        <v>0.548</v>
      </c>
      <c r="K22" s="46" t="n">
        <v>0.324</v>
      </c>
      <c r="L22" s="46" t="n">
        <v>0.001</v>
      </c>
      <c r="M22" s="46" t="n">
        <v>-0.145</v>
      </c>
      <c r="N22" s="46" t="n">
        <v>-0.325</v>
      </c>
    </row>
    <row r="23" ht="15" customHeight="1" s="87">
      <c r="B23" s="14" t="n">
        <v>0</v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I23" s="46" t="n">
        <v>0.125</v>
      </c>
      <c r="J23" s="46" t="n">
        <v>0.257</v>
      </c>
      <c r="K23" s="46" t="n">
        <v>-0.365</v>
      </c>
      <c r="L23" s="46" t="n">
        <v>-0.256</v>
      </c>
      <c r="M23" s="46" t="n">
        <v>-0.122</v>
      </c>
      <c r="N23" s="46" t="n">
        <v>0.157</v>
      </c>
    </row>
    <row r="25" ht="15" customHeight="1" s="87">
      <c r="A25" s="40" t="inlineStr">
        <is>
          <t>b_i</t>
        </is>
      </c>
      <c r="B25" s="39" t="n">
        <v>0.154</v>
      </c>
      <c r="C25" s="15" t="n">
        <v>0.16</v>
      </c>
      <c r="D25" s="15" t="n">
        <v>0.01</v>
      </c>
      <c r="I25" s="40" t="inlineStr">
        <is>
          <t>b_C</t>
        </is>
      </c>
      <c r="J25" s="47" t="n">
        <v>0.2</v>
      </c>
      <c r="K25" s="47" t="n">
        <v>0.01</v>
      </c>
      <c r="L25" s="47" t="n">
        <v>0.03</v>
      </c>
    </row>
    <row r="27" ht="15" customHeight="1" s="87">
      <c r="A27" s="42" t="inlineStr">
        <is>
          <t>h_(t-1)+x_(t)</t>
        </is>
      </c>
      <c r="B27" s="41">
        <f>B17</f>
        <v/>
      </c>
      <c r="C27" s="16">
        <f>C17</f>
        <v/>
      </c>
      <c r="D27" s="16">
        <f>D17</f>
        <v/>
      </c>
      <c r="E27" s="16">
        <f>B19</f>
        <v/>
      </c>
      <c r="F27" s="16">
        <f>C19</f>
        <v/>
      </c>
      <c r="G27" s="16">
        <f>D19</f>
        <v/>
      </c>
    </row>
    <row r="29" ht="15" customHeight="1" s="87">
      <c r="A29" s="44" t="inlineStr">
        <is>
          <t>Transpose(h_(t-1)+x_(t))</t>
        </is>
      </c>
      <c r="B29" s="43">
        <f>B27</f>
        <v/>
      </c>
    </row>
    <row r="30" ht="15" customHeight="1" s="87">
      <c r="B30" s="17">
        <f>C27</f>
        <v/>
      </c>
    </row>
    <row r="31" ht="15" customHeight="1" s="87">
      <c r="B31" s="17">
        <f>D27</f>
        <v/>
      </c>
    </row>
    <row r="32" ht="15" customHeight="1" s="87">
      <c r="B32" s="17">
        <f>E27</f>
        <v/>
      </c>
    </row>
    <row r="33" ht="15" customHeight="1" s="87">
      <c r="B33" s="17">
        <f>F27</f>
        <v/>
      </c>
    </row>
    <row r="34" ht="15" customHeight="1" s="87">
      <c r="B34" s="17">
        <f>G27</f>
        <v/>
      </c>
    </row>
  </sheetData>
  <mergeCells count="7">
    <mergeCell ref="P15:S16"/>
    <mergeCell ref="B2:C2"/>
    <mergeCell ref="O1:Q1"/>
    <mergeCell ref="P13:S14"/>
    <mergeCell ref="E1:I1"/>
    <mergeCell ref="P17:S18"/>
    <mergeCell ref="K1:M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tabSelected="1" zoomScaleNormal="100" workbookViewId="0">
      <selection activeCell="L15" sqref="L15"/>
    </sheetView>
  </sheetViews>
  <sheetFormatPr baseColWidth="8" defaultColWidth="8.6640625" defaultRowHeight="14.4"/>
  <cols>
    <col width="26" customWidth="1" style="87" min="1" max="1"/>
    <col width="8" customWidth="1" style="87" min="2" max="7"/>
    <col width="9" customWidth="1" style="87" min="8" max="12"/>
    <col width="12.6640625" customWidth="1" style="87" min="13" max="13"/>
    <col width="9" customWidth="1" style="87" min="14" max="14"/>
    <col width="10" customWidth="1" style="87" min="15" max="16"/>
  </cols>
  <sheetData>
    <row r="1" ht="15" customHeight="1" s="87">
      <c r="A1" s="2" t="n"/>
      <c r="B1" s="2" t="n"/>
      <c r="C1" s="2" t="n"/>
      <c r="D1" s="2" t="n"/>
      <c r="E1" s="86" t="n"/>
      <c r="J1" s="2" t="n"/>
      <c r="K1" s="86" t="n"/>
      <c r="N1" s="2" t="n"/>
      <c r="O1" s="86" t="n"/>
    </row>
    <row r="2" ht="17.25" customHeight="1" s="87">
      <c r="A2" s="3" t="n"/>
      <c r="B2" s="89" t="inlineStr">
        <is>
          <t>Cell State &amp; OutPut</t>
        </is>
      </c>
      <c r="F2" s="3" t="n"/>
      <c r="G2" s="3" t="n"/>
    </row>
    <row r="4" ht="15" customHeight="1" s="87">
      <c r="A4" s="55" t="inlineStr">
        <is>
          <t>C_t</t>
        </is>
      </c>
      <c r="B4" s="56">
        <f>'Input Gate'!T5</f>
        <v/>
      </c>
      <c r="M4" s="28" t="inlineStr">
        <is>
          <t>Bias Added</t>
        </is>
      </c>
      <c r="N4" s="84" t="inlineStr">
        <is>
          <t>Sigmoid</t>
        </is>
      </c>
      <c r="P4" s="26" t="inlineStr">
        <is>
          <t>tanh(C_t)</t>
        </is>
      </c>
      <c r="Q4" s="26" t="inlineStr">
        <is>
          <t>h_t</t>
        </is>
      </c>
    </row>
    <row r="5" ht="15" customHeight="1" s="87">
      <c r="B5" s="56">
        <f>'Input Gate'!T6</f>
        <v/>
      </c>
      <c r="K5" s="1" t="inlineStr">
        <is>
          <t>Cell 1</t>
        </is>
      </c>
      <c r="L5" s="65">
        <f>MMULT(B12:G12,B20:B25)</f>
        <v/>
      </c>
      <c r="M5" s="66">
        <f>L5+B16</f>
        <v/>
      </c>
      <c r="N5" s="76">
        <f>1/(1+EXP(-M5))</f>
        <v/>
      </c>
      <c r="P5" s="68">
        <f>TANH(B4)</f>
        <v/>
      </c>
      <c r="Q5" s="70">
        <f>N5*P5</f>
        <v/>
      </c>
    </row>
    <row r="6" ht="15" customHeight="1" s="87">
      <c r="B6" s="56">
        <f>'Input Gate'!T7</f>
        <v/>
      </c>
      <c r="K6" s="1" t="inlineStr">
        <is>
          <t>Cell 2</t>
        </is>
      </c>
      <c r="L6" s="65">
        <f>MMULT(B13:G13,B20:B25)</f>
        <v/>
      </c>
      <c r="M6" s="66">
        <f>L6+C16</f>
        <v/>
      </c>
      <c r="N6" s="76">
        <f>1/(1+EXP(-M6))</f>
        <v/>
      </c>
      <c r="P6" s="68">
        <f>TANH(B5)</f>
        <v/>
      </c>
      <c r="Q6" s="70">
        <f>N6*P6</f>
        <v/>
      </c>
    </row>
    <row r="7" ht="15" customHeight="1" s="87">
      <c r="K7" s="1" t="inlineStr">
        <is>
          <t>Cell 3</t>
        </is>
      </c>
      <c r="L7" s="65">
        <f>MMULT(B14:G14,B20:B25)</f>
        <v/>
      </c>
      <c r="M7" s="66">
        <f>L7+D16</f>
        <v/>
      </c>
      <c r="N7" s="85">
        <f>1/(1+EXP(-M7))</f>
        <v/>
      </c>
      <c r="P7" s="69">
        <f>TANH(B6)</f>
        <v/>
      </c>
      <c r="Q7" s="71">
        <f>N7*P7</f>
        <v/>
      </c>
    </row>
    <row r="8" ht="15" customHeight="1" s="87">
      <c r="A8" s="34" t="inlineStr">
        <is>
          <t>h_(t-1)</t>
        </is>
      </c>
      <c r="B8" s="57">
        <f>'Forget Gate'!B4</f>
        <v/>
      </c>
      <c r="C8" s="57">
        <f>'Forget Gate'!C4</f>
        <v/>
      </c>
      <c r="D8" s="57">
        <f>'Forget Gate'!D4</f>
        <v/>
      </c>
      <c r="N8" s="67" t="inlineStr">
        <is>
          <t>o_t</t>
        </is>
      </c>
    </row>
    <row r="10" ht="15" customHeight="1" s="87">
      <c r="A10" s="58" t="inlineStr">
        <is>
          <t>x_(t)</t>
        </is>
      </c>
      <c r="B10" s="59">
        <f>'Forget Gate'!B6</f>
        <v/>
      </c>
      <c r="C10" s="59">
        <f>'Forget Gate'!C6</f>
        <v/>
      </c>
      <c r="D10" s="59">
        <f>'Forget Gate'!D6</f>
        <v/>
      </c>
      <c r="H10" s="64" t="n"/>
      <c r="I10" s="4" t="n"/>
      <c r="J10" s="4" t="n"/>
      <c r="K10" s="4" t="n"/>
      <c r="L10" s="4" t="n"/>
      <c r="M10" s="4" t="n"/>
      <c r="N10" s="4" t="n"/>
      <c r="O10" s="4" t="n"/>
    </row>
    <row r="11" ht="15" customHeight="1" s="87">
      <c r="H11" s="64" t="n"/>
      <c r="I11" s="4" t="n"/>
      <c r="J11" s="4" t="n"/>
      <c r="K11" s="4" t="n"/>
      <c r="L11" s="4" t="n"/>
      <c r="M11" s="4" t="n"/>
      <c r="N11" s="4" t="n"/>
      <c r="O11" s="4" t="n"/>
    </row>
    <row r="12" ht="15" customHeight="1" s="87">
      <c r="A12" s="60" t="inlineStr">
        <is>
          <t>W_o</t>
        </is>
      </c>
      <c r="B12" s="61" t="n">
        <v>0.033</v>
      </c>
      <c r="C12" s="61" t="n">
        <v>0.213</v>
      </c>
      <c r="D12" s="61" t="n">
        <v>0</v>
      </c>
      <c r="E12" s="61" t="n">
        <v>0</v>
      </c>
      <c r="F12" s="61" t="n">
        <v>0.006</v>
      </c>
      <c r="G12" s="61" t="n">
        <v>0.023</v>
      </c>
    </row>
    <row r="13" ht="15" customHeight="1" s="87">
      <c r="B13" s="61" t="n">
        <v>0</v>
      </c>
      <c r="C13" s="61" t="n">
        <v>0.068</v>
      </c>
      <c r="D13" s="61" t="n">
        <v>0.048</v>
      </c>
      <c r="E13" s="61" t="n">
        <v>0.215</v>
      </c>
      <c r="F13" s="61" t="n">
        <v>0.002</v>
      </c>
      <c r="G13" s="61" t="n">
        <v>0.056</v>
      </c>
    </row>
    <row r="14" ht="15" customHeight="1" s="87">
      <c r="B14" s="61" t="n">
        <v>0.012</v>
      </c>
      <c r="C14" s="61" t="n">
        <v>0</v>
      </c>
      <c r="D14" s="61" t="n">
        <v>0.165</v>
      </c>
      <c r="E14" s="61" t="n">
        <v>0.333</v>
      </c>
      <c r="F14" s="61" t="n">
        <v>0</v>
      </c>
      <c r="G14" s="61" t="n">
        <v>0</v>
      </c>
      <c r="N14" s="88" t="inlineStr">
        <is>
          <t>o_t = σ(Wo·[h_(t-1),x_t] + b_o)</t>
        </is>
      </c>
    </row>
    <row r="15"/>
    <row r="16" ht="15" customHeight="1" s="87">
      <c r="A16" s="58" t="inlineStr">
        <is>
          <t>b_o</t>
        </is>
      </c>
      <c r="B16" s="47" t="n">
        <v>0.005</v>
      </c>
      <c r="C16" s="47" t="n">
        <v>0.001</v>
      </c>
      <c r="D16" s="47" t="n">
        <v>0.031</v>
      </c>
      <c r="N16" s="88" t="inlineStr">
        <is>
          <t>h_t = o_t * tanh(C_t)</t>
        </is>
      </c>
    </row>
    <row r="17"/>
    <row r="18" ht="15" customHeight="1" s="87">
      <c r="A18" s="53" t="inlineStr">
        <is>
          <t>h_(t-1)+x_(t)</t>
        </is>
      </c>
      <c r="B18" s="62">
        <f>B8</f>
        <v/>
      </c>
      <c r="C18" s="62">
        <f>C8</f>
        <v/>
      </c>
      <c r="D18" s="62">
        <f>D8</f>
        <v/>
      </c>
      <c r="E18" s="62">
        <f>B10</f>
        <v/>
      </c>
      <c r="F18" s="62">
        <f>C10</f>
        <v/>
      </c>
      <c r="G18" s="62">
        <f>D10</f>
        <v/>
      </c>
    </row>
    <row r="20" ht="15" customHeight="1" s="87">
      <c r="A20" s="63" t="inlineStr">
        <is>
          <t>Transpose(h_(t-1)+x_(t))</t>
        </is>
      </c>
      <c r="B20" s="24">
        <f>B18</f>
        <v/>
      </c>
    </row>
    <row r="21" ht="15" customHeight="1" s="87">
      <c r="B21" s="24">
        <f>C18</f>
        <v/>
      </c>
    </row>
    <row r="22" ht="15" customHeight="1" s="87">
      <c r="B22" s="24">
        <f>D18</f>
        <v/>
      </c>
    </row>
    <row r="23" ht="15" customHeight="1" s="87">
      <c r="B23" s="24">
        <f>E18</f>
        <v/>
      </c>
    </row>
    <row r="24" ht="15" customHeight="1" s="87">
      <c r="B24" s="24">
        <f>F18</f>
        <v/>
      </c>
    </row>
    <row r="25" ht="15" customHeight="1" s="87">
      <c r="B25" s="24">
        <f>G18</f>
        <v/>
      </c>
    </row>
  </sheetData>
  <mergeCells count="6">
    <mergeCell ref="O1:Q1"/>
    <mergeCell ref="N14:Q15"/>
    <mergeCell ref="E1:I1"/>
    <mergeCell ref="B2:E2"/>
    <mergeCell ref="N16:Q17"/>
    <mergeCell ref="K1:M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2026-05-21T14:37:58Z</dcterms:created>
  <dcterms:modified xsi:type="dcterms:W3CDTF">2026-05-21T20:08:21Z</dcterms:modified>
  <cp:lastModifiedBy>Zubair Abbas</cp:lastModifiedBy>
  <cp:revision>0</cp:revision>
</cp:coreProperties>
</file>