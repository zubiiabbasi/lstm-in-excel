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LSTM-excel\"/>
    </mc:Choice>
  </mc:AlternateContent>
  <xr:revisionPtr revIDLastSave="0" documentId="13_ncr:1_{1A68B016-EDA5-4FB4-9BA7-611B1E4F525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Forget Gate" sheetId="1" r:id="rId1"/>
    <sheet name="Input Gate" sheetId="2" r:id="rId2"/>
    <sheet name="Cell State &amp; Output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2" l="1"/>
  <c r="G21" i="2" s="1"/>
  <c r="B28" i="2" s="1"/>
  <c r="C13" i="2"/>
  <c r="F21" i="2" s="1"/>
  <c r="B27" i="2" s="1"/>
  <c r="B13" i="2"/>
  <c r="E21" i="2" s="1"/>
  <c r="B26" i="2" s="1"/>
  <c r="D11" i="2"/>
  <c r="D21" i="2" s="1"/>
  <c r="B25" i="2" s="1"/>
  <c r="C11" i="2"/>
  <c r="C21" i="2" s="1"/>
  <c r="B24" i="2" s="1"/>
  <c r="B11" i="2"/>
  <c r="B21" i="2" s="1"/>
  <c r="B23" i="2" s="1"/>
  <c r="G14" i="1"/>
  <c r="B21" i="1" s="1"/>
  <c r="F14" i="1"/>
  <c r="B20" i="1" s="1"/>
  <c r="E14" i="1"/>
  <c r="B19" i="1" s="1"/>
  <c r="D14" i="1"/>
  <c r="B18" i="1" s="1"/>
  <c r="C14" i="1"/>
  <c r="B17" i="1" s="1"/>
  <c r="B14" i="1"/>
  <c r="B16" i="1" s="1"/>
  <c r="D10" i="3"/>
  <c r="G18" i="3" s="1"/>
  <c r="B25" i="3" s="1"/>
  <c r="C10" i="3"/>
  <c r="F18" i="3" s="1"/>
  <c r="B24" i="3" s="1"/>
  <c r="B10" i="3"/>
  <c r="E18" i="3" s="1"/>
  <c r="B23" i="3" s="1"/>
  <c r="D8" i="3"/>
  <c r="D18" i="3" s="1"/>
  <c r="B22" i="3" s="1"/>
  <c r="C8" i="3"/>
  <c r="C18" i="3" s="1"/>
  <c r="B21" i="3" s="1"/>
  <c r="B8" i="3"/>
  <c r="B18" i="3" s="1"/>
  <c r="B20" i="3" s="1"/>
  <c r="J5" i="2" l="1"/>
  <c r="K5" i="2" s="1"/>
  <c r="L5" i="2" s="1"/>
  <c r="O5" i="2"/>
  <c r="P5" i="2" s="1"/>
  <c r="Q5" i="2" s="1"/>
  <c r="J6" i="2"/>
  <c r="K6" i="2" s="1"/>
  <c r="L6" i="2" s="1"/>
  <c r="O6" i="2"/>
  <c r="P6" i="2" s="1"/>
  <c r="Q6" i="2" s="1"/>
  <c r="J7" i="2"/>
  <c r="K7" i="2" s="1"/>
  <c r="L7" i="2" s="1"/>
  <c r="O7" i="2"/>
  <c r="P7" i="2" s="1"/>
  <c r="Q7" i="2" s="1"/>
  <c r="M7" i="1"/>
  <c r="N7" i="1" s="1"/>
  <c r="O7" i="1" s="1"/>
  <c r="B7" i="2" s="1"/>
  <c r="F7" i="2" s="1"/>
  <c r="M5" i="1"/>
  <c r="N5" i="1" s="1"/>
  <c r="O5" i="1" s="1"/>
  <c r="B5" i="2" s="1"/>
  <c r="F5" i="2" s="1"/>
  <c r="M6" i="1"/>
  <c r="N6" i="1" s="1"/>
  <c r="O6" i="1" s="1"/>
  <c r="B6" i="2" s="1"/>
  <c r="F6" i="2" s="1"/>
  <c r="L5" i="3"/>
  <c r="M5" i="3" s="1"/>
  <c r="N5" i="3" s="1"/>
  <c r="L6" i="3"/>
  <c r="M6" i="3" s="1"/>
  <c r="N6" i="3" s="1"/>
  <c r="L7" i="3"/>
  <c r="M7" i="3" s="1"/>
  <c r="N7" i="3" s="1"/>
  <c r="S7" i="2" l="1"/>
  <c r="T7" i="2" s="1"/>
  <c r="B6" i="3" s="1"/>
  <c r="P7" i="3" s="1"/>
  <c r="Q7" i="3" s="1"/>
  <c r="S6" i="2"/>
  <c r="T6" i="2" s="1"/>
  <c r="B5" i="3" s="1"/>
  <c r="P6" i="3" s="1"/>
  <c r="Q6" i="3" s="1"/>
  <c r="S5" i="2"/>
  <c r="T5" i="2" s="1"/>
  <c r="B4" i="3" s="1"/>
  <c r="P5" i="3" s="1"/>
  <c r="Q5" i="3" s="1"/>
</calcChain>
</file>

<file path=xl/sharedStrings.xml><?xml version="1.0" encoding="utf-8"?>
<sst xmlns="http://schemas.openxmlformats.org/spreadsheetml/2006/main" count="61" uniqueCount="38">
  <si>
    <t>Cell State &amp; OutPut</t>
  </si>
  <si>
    <t>C_t</t>
  </si>
  <si>
    <t>Bias Added</t>
  </si>
  <si>
    <t>Sigmoid</t>
  </si>
  <si>
    <t>tanh(C_t)</t>
  </si>
  <si>
    <t>h_t</t>
  </si>
  <si>
    <t>Cell 1</t>
  </si>
  <si>
    <t>Cell 2</t>
  </si>
  <si>
    <t>Cell 3</t>
  </si>
  <si>
    <t>h_(t-1)</t>
  </si>
  <si>
    <t>o_t</t>
  </si>
  <si>
    <t>x_(t)</t>
  </si>
  <si>
    <t>W_o</t>
  </si>
  <si>
    <t>o_t = σ(Wo·[h_(t-1),x_t] + b_o)</t>
  </si>
  <si>
    <t>b_o</t>
  </si>
  <si>
    <t>h_t = o_t * tanh(C_t)</t>
  </si>
  <si>
    <t>h_(t-1)+x_(t)</t>
  </si>
  <si>
    <t>Transpose(h_(t-1)+x_(t))</t>
  </si>
  <si>
    <t>Forget Gate</t>
  </si>
  <si>
    <t>W_f</t>
  </si>
  <si>
    <t>f_t</t>
  </si>
  <si>
    <t>b_f</t>
  </si>
  <si>
    <t>f_t = σ(Wf·[h_(t-1), x_t] + b_f)</t>
  </si>
  <si>
    <t>h_(t-1) + x_(t)</t>
  </si>
  <si>
    <t>Input Gate</t>
  </si>
  <si>
    <t>Tanh</t>
  </si>
  <si>
    <t>i_t * C̃t</t>
  </si>
  <si>
    <t>C_(t-1)</t>
  </si>
  <si>
    <t>i_t</t>
  </si>
  <si>
    <t>C̃t</t>
  </si>
  <si>
    <t>f_t * C_(t-1)</t>
  </si>
  <si>
    <t>i_t = σ(Wi·[h_(t-1),x_t] + b_i)</t>
  </si>
  <si>
    <t>C̃t = tanh(WC·[h_(t-1),x_t] + bC)</t>
  </si>
  <si>
    <t>C_t = f_t * C_(t-1) + i_t * C̃t</t>
  </si>
  <si>
    <t>W_C</t>
  </si>
  <si>
    <t>W_i</t>
  </si>
  <si>
    <t>b_i</t>
  </si>
  <si>
    <t>b_C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</si>
</sst>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4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i/>
      <sz val="11"/>
      <name val="Arial"/>
      <charset val="1"/>
    </font>
    <font>
      <b/>
      <sz val="11"/>
      <name val="Arial"/>
      <charset val="1"/>
    </font>
    <font>
      <i/>
      <sz val="16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</font>
    <font>
      <b/>
      <sz val="10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10"/>
      <color theme="0"/>
      <name val="Arial"/>
      <family val="2"/>
    </font>
    <font>
      <sz val="11"/>
      <name val="Arial"/>
      <family val="2"/>
    </font>
    <font>
      <b/>
      <sz val="14"/>
      <color theme="1"/>
      <name val="Calibri"/>
      <family val="2"/>
    </font>
    <font>
      <i/>
      <sz val="11"/>
      <name val="Arial"/>
      <family val="2"/>
    </font>
    <font>
      <b/>
      <sz val="14"/>
      <name val="Calibri"/>
      <family val="2"/>
      <scheme val="minor"/>
    </font>
    <font>
      <sz val="10"/>
      <color rgb="FF000000"/>
      <name val="Arial"/>
      <family val="2"/>
    </font>
    <font>
      <b/>
      <sz val="14"/>
      <name val="Calbri"/>
    </font>
  </fonts>
  <fills count="34">
    <fill>
      <patternFill patternType="none"/>
    </fill>
    <fill>
      <patternFill patternType="gray125"/>
    </fill>
    <fill>
      <patternFill patternType="solid">
        <fgColor rgb="FFFFA500"/>
        <bgColor rgb="FFFFCC00"/>
      </patternFill>
    </fill>
    <fill>
      <patternFill patternType="solid">
        <fgColor rgb="FFADD8E6"/>
        <bgColor rgb="FFD3D3D3"/>
      </patternFill>
    </fill>
    <fill>
      <patternFill patternType="solid">
        <fgColor rgb="FF90EE90"/>
        <bgColor rgb="FFADD8E6"/>
      </patternFill>
    </fill>
    <fill>
      <patternFill patternType="solid">
        <fgColor theme="6" tint="0.59999389629810485"/>
        <bgColor rgb="FFFFCC00"/>
      </patternFill>
    </fill>
    <fill>
      <patternFill patternType="solid">
        <fgColor theme="9" tint="-0.249977111117893"/>
        <bgColor rgb="FFFFCC00"/>
      </patternFill>
    </fill>
    <fill>
      <patternFill patternType="solid">
        <fgColor theme="3" tint="0.59999389629810485"/>
        <bgColor rgb="FFD3D3D3"/>
      </patternFill>
    </fill>
    <fill>
      <patternFill patternType="solid">
        <fgColor theme="9"/>
        <bgColor rgb="FFD3D3D3"/>
      </patternFill>
    </fill>
    <fill>
      <patternFill patternType="solid">
        <fgColor theme="3" tint="0.39997558519241921"/>
        <bgColor rgb="FFD3D3D3"/>
      </patternFill>
    </fill>
    <fill>
      <patternFill patternType="solid">
        <fgColor theme="3" tint="0.79998168889431442"/>
        <bgColor rgb="FFD3D3D3"/>
      </patternFill>
    </fill>
    <fill>
      <patternFill patternType="solid">
        <fgColor rgb="FFFFC000"/>
        <bgColor rgb="FFD3D3D3"/>
      </patternFill>
    </fill>
    <fill>
      <patternFill patternType="solid">
        <fgColor theme="2" tint="-0.249977111117893"/>
        <bgColor rgb="FFADD8E6"/>
      </patternFill>
    </fill>
    <fill>
      <patternFill patternType="solid">
        <fgColor theme="9" tint="-0.249977111117893"/>
        <bgColor rgb="FFADD8E6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499984740745262"/>
        <bgColor rgb="FF33CCC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CC00"/>
      </patternFill>
    </fill>
    <fill>
      <patternFill patternType="solid">
        <fgColor theme="2" tint="-9.9978637043366805E-2"/>
        <bgColor rgb="FFFFCC00"/>
      </patternFill>
    </fill>
    <fill>
      <patternFill patternType="solid">
        <fgColor theme="9" tint="-0.249977111117893"/>
        <bgColor rgb="FFD3D3D3"/>
      </patternFill>
    </fill>
    <fill>
      <patternFill patternType="solid">
        <fgColor theme="2"/>
        <bgColor rgb="FFD3D3D3"/>
      </patternFill>
    </fill>
    <fill>
      <patternFill patternType="solid">
        <fgColor theme="0"/>
        <bgColor rgb="FFC0C0C0"/>
      </patternFill>
    </fill>
    <fill>
      <patternFill patternType="solid">
        <fgColor rgb="FFFFFF00"/>
        <bgColor rgb="FF33CCCC"/>
      </patternFill>
    </fill>
    <fill>
      <patternFill patternType="solid">
        <fgColor theme="5" tint="-0.249977111117893"/>
        <bgColor rgb="FF33CCCC"/>
      </patternFill>
    </fill>
    <fill>
      <patternFill patternType="solid">
        <fgColor theme="4" tint="0.79998168889431442"/>
        <bgColor rgb="FFD3D3D3"/>
      </patternFill>
    </fill>
    <fill>
      <patternFill patternType="solid">
        <fgColor theme="5"/>
        <bgColor rgb="FFFFCC00"/>
      </patternFill>
    </fill>
    <fill>
      <patternFill patternType="solid">
        <fgColor theme="0" tint="-0.14999847407452621"/>
        <bgColor rgb="FFD3D3D3"/>
      </patternFill>
    </fill>
    <fill>
      <patternFill patternType="solid">
        <fgColor theme="1" tint="0.34998626667073579"/>
        <bgColor rgb="FF33CCCC"/>
      </patternFill>
    </fill>
    <fill>
      <patternFill patternType="solid">
        <fgColor theme="6" tint="-0.249977111117893"/>
        <bgColor rgb="FF33CCCC"/>
      </patternFill>
    </fill>
    <fill>
      <patternFill patternType="solid">
        <fgColor theme="9" tint="-0.499984740745262"/>
        <bgColor rgb="FFFFFF00"/>
      </patternFill>
    </fill>
    <fill>
      <patternFill patternType="solid">
        <fgColor theme="9" tint="-0.499984740745262"/>
        <bgColor rgb="FF33CCC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5" fillId="0" borderId="0" xfId="0" applyFont="1"/>
    <xf numFmtId="0" fontId="1" fillId="0" borderId="0" xfId="0" applyFont="1"/>
    <xf numFmtId="0" fontId="2" fillId="0" borderId="0" xfId="0" applyFont="1"/>
    <xf numFmtId="0" fontId="7" fillId="0" borderId="0" xfId="0" applyFont="1"/>
    <xf numFmtId="164" fontId="4" fillId="5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164" fontId="6" fillId="16" borderId="1" xfId="0" applyNumberFormat="1" applyFont="1" applyFill="1" applyBorder="1" applyAlignment="1">
      <alignment horizontal="center" vertical="center"/>
    </xf>
    <xf numFmtId="164" fontId="6" fillId="17" borderId="1" xfId="0" applyNumberFormat="1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4" fontId="6" fillId="21" borderId="1" xfId="0" applyNumberFormat="1" applyFont="1" applyFill="1" applyBorder="1" applyAlignment="1">
      <alignment horizontal="center" vertical="center"/>
    </xf>
    <xf numFmtId="164" fontId="14" fillId="22" borderId="1" xfId="0" applyNumberFormat="1" applyFont="1" applyFill="1" applyBorder="1" applyAlignment="1">
      <alignment horizontal="center" vertical="center"/>
    </xf>
    <xf numFmtId="164" fontId="6" fillId="23" borderId="1" xfId="0" applyNumberFormat="1" applyFont="1" applyFill="1" applyBorder="1" applyAlignment="1">
      <alignment horizontal="center" vertical="center"/>
    </xf>
    <xf numFmtId="164" fontId="6" fillId="11" borderId="1" xfId="0" applyNumberFormat="1" applyFont="1" applyFill="1" applyBorder="1" applyAlignment="1">
      <alignment horizontal="center" vertical="center"/>
    </xf>
    <xf numFmtId="164" fontId="14" fillId="13" borderId="1" xfId="0" applyNumberFormat="1" applyFont="1" applyFill="1" applyBorder="1" applyAlignment="1">
      <alignment horizontal="center" vertical="center"/>
    </xf>
    <xf numFmtId="164" fontId="14" fillId="15" borderId="1" xfId="0" applyNumberFormat="1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center" vertical="center"/>
    </xf>
    <xf numFmtId="0" fontId="5" fillId="24" borderId="0" xfId="0" applyFont="1" applyFill="1" applyAlignment="1">
      <alignment horizontal="center"/>
    </xf>
    <xf numFmtId="0" fontId="4" fillId="24" borderId="3" xfId="0" applyFont="1" applyFill="1" applyBorder="1" applyAlignment="1">
      <alignment horizontal="center" vertical="center"/>
    </xf>
    <xf numFmtId="0" fontId="0" fillId="0" borderId="4" xfId="0" applyBorder="1"/>
    <xf numFmtId="164" fontId="6" fillId="16" borderId="5" xfId="0" applyNumberFormat="1" applyFont="1" applyFill="1" applyBorder="1" applyAlignment="1">
      <alignment horizontal="center" vertical="center"/>
    </xf>
    <xf numFmtId="164" fontId="6" fillId="17" borderId="5" xfId="0" applyNumberFormat="1" applyFont="1" applyFill="1" applyBorder="1" applyAlignment="1">
      <alignment horizontal="center" vertical="center"/>
    </xf>
    <xf numFmtId="164" fontId="14" fillId="15" borderId="5" xfId="0" applyNumberFormat="1" applyFont="1" applyFill="1" applyBorder="1" applyAlignment="1">
      <alignment horizontal="center" vertical="center"/>
    </xf>
    <xf numFmtId="0" fontId="0" fillId="19" borderId="5" xfId="0" applyFill="1" applyBorder="1" applyAlignment="1">
      <alignment horizontal="center"/>
    </xf>
    <xf numFmtId="0" fontId="5" fillId="25" borderId="5" xfId="0" applyFont="1" applyFill="1" applyBorder="1" applyAlignment="1">
      <alignment horizontal="center"/>
    </xf>
    <xf numFmtId="0" fontId="16" fillId="24" borderId="1" xfId="0" applyFont="1" applyFill="1" applyBorder="1" applyAlignment="1">
      <alignment horizontal="center" vertical="center"/>
    </xf>
    <xf numFmtId="0" fontId="5" fillId="24" borderId="5" xfId="0" applyFont="1" applyFill="1" applyBorder="1" applyAlignment="1">
      <alignment horizontal="center"/>
    </xf>
    <xf numFmtId="164" fontId="14" fillId="26" borderId="5" xfId="0" applyNumberFormat="1" applyFont="1" applyFill="1" applyBorder="1" applyAlignment="1">
      <alignment horizontal="center" vertical="center"/>
    </xf>
    <xf numFmtId="164" fontId="14" fillId="18" borderId="5" xfId="0" applyNumberFormat="1" applyFont="1" applyFill="1" applyBorder="1" applyAlignment="1">
      <alignment horizontal="center" vertical="center"/>
    </xf>
    <xf numFmtId="164" fontId="14" fillId="6" borderId="2" xfId="0" applyNumberFormat="1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right" vertical="center"/>
    </xf>
    <xf numFmtId="164" fontId="14" fillId="22" borderId="2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right" vertical="center"/>
    </xf>
    <xf numFmtId="164" fontId="6" fillId="23" borderId="2" xfId="0" applyNumberFormat="1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right" vertical="center"/>
    </xf>
    <xf numFmtId="164" fontId="6" fillId="11" borderId="2" xfId="0" applyNumberFormat="1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right" vertical="center"/>
    </xf>
    <xf numFmtId="164" fontId="14" fillId="13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right" vertical="center"/>
    </xf>
    <xf numFmtId="164" fontId="14" fillId="15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left" vertical="center"/>
    </xf>
    <xf numFmtId="0" fontId="16" fillId="7" borderId="6" xfId="0" applyFont="1" applyFill="1" applyBorder="1" applyAlignment="1">
      <alignment horizontal="right" vertical="center"/>
    </xf>
    <xf numFmtId="164" fontId="6" fillId="27" borderId="5" xfId="0" applyNumberFormat="1" applyFont="1" applyFill="1" applyBorder="1" applyAlignment="1">
      <alignment horizontal="center" vertical="center"/>
    </xf>
    <xf numFmtId="164" fontId="6" fillId="11" borderId="5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right" vertical="center"/>
    </xf>
    <xf numFmtId="164" fontId="4" fillId="8" borderId="2" xfId="0" applyNumberFormat="1" applyFont="1" applyFill="1" applyBorder="1" applyAlignment="1">
      <alignment horizontal="center" vertical="center"/>
    </xf>
    <xf numFmtId="164" fontId="6" fillId="10" borderId="2" xfId="0" applyNumberFormat="1" applyFont="1" applyFill="1" applyBorder="1" applyAlignment="1">
      <alignment horizontal="center" vertical="center"/>
    </xf>
    <xf numFmtId="164" fontId="4" fillId="11" borderId="2" xfId="0" applyNumberFormat="1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right" vertical="center"/>
    </xf>
    <xf numFmtId="0" fontId="12" fillId="19" borderId="5" xfId="0" applyFont="1" applyFill="1" applyBorder="1" applyAlignment="1">
      <alignment horizontal="center"/>
    </xf>
    <xf numFmtId="0" fontId="13" fillId="20" borderId="8" xfId="0" applyFont="1" applyFill="1" applyBorder="1" applyAlignment="1">
      <alignment horizontal="right" vertical="center"/>
    </xf>
    <xf numFmtId="164" fontId="14" fillId="28" borderId="5" xfId="0" applyNumberFormat="1" applyFont="1" applyFill="1" applyBorder="1" applyAlignment="1">
      <alignment horizontal="center" vertical="center"/>
    </xf>
    <xf numFmtId="164" fontId="14" fillId="6" borderId="5" xfId="0" applyNumberFormat="1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right" vertical="center"/>
    </xf>
    <xf numFmtId="164" fontId="14" fillId="22" borderId="5" xfId="0" applyNumberFormat="1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right" vertical="center"/>
    </xf>
    <xf numFmtId="164" fontId="6" fillId="29" borderId="5" xfId="0" applyNumberFormat="1" applyFont="1" applyFill="1" applyBorder="1" applyAlignment="1">
      <alignment horizontal="center" vertical="center"/>
    </xf>
    <xf numFmtId="164" fontId="14" fillId="13" borderId="5" xfId="0" applyNumberFormat="1" applyFont="1" applyFill="1" applyBorder="1" applyAlignment="1">
      <alignment horizontal="center" vertical="center"/>
    </xf>
    <xf numFmtId="0" fontId="4" fillId="14" borderId="8" xfId="0" applyFont="1" applyFill="1" applyBorder="1" applyAlignment="1">
      <alignment horizontal="left" vertical="center"/>
    </xf>
    <xf numFmtId="0" fontId="20" fillId="0" borderId="0" xfId="0" applyFont="1"/>
    <xf numFmtId="164" fontId="22" fillId="16" borderId="5" xfId="0" applyNumberFormat="1" applyFont="1" applyFill="1" applyBorder="1" applyAlignment="1">
      <alignment horizontal="center" vertical="center"/>
    </xf>
    <xf numFmtId="164" fontId="22" fillId="17" borderId="5" xfId="0" applyNumberFormat="1" applyFont="1" applyFill="1" applyBorder="1" applyAlignment="1">
      <alignment horizontal="center" vertical="center"/>
    </xf>
    <xf numFmtId="0" fontId="8" fillId="25" borderId="5" xfId="0" applyFont="1" applyFill="1" applyBorder="1" applyAlignment="1">
      <alignment horizontal="center"/>
    </xf>
    <xf numFmtId="164" fontId="14" fillId="30" borderId="5" xfId="0" applyNumberFormat="1" applyFont="1" applyFill="1" applyBorder="1" applyAlignment="1">
      <alignment horizontal="center" vertical="center"/>
    </xf>
    <xf numFmtId="164" fontId="14" fillId="30" borderId="5" xfId="0" applyNumberFormat="1" applyFont="1" applyFill="1" applyBorder="1" applyAlignment="1">
      <alignment horizontal="center"/>
    </xf>
    <xf numFmtId="164" fontId="14" fillId="31" borderId="5" xfId="0" applyNumberFormat="1" applyFont="1" applyFill="1" applyBorder="1" applyAlignment="1">
      <alignment horizontal="center" vertical="center"/>
    </xf>
    <xf numFmtId="164" fontId="14" fillId="31" borderId="5" xfId="0" applyNumberFormat="1" applyFont="1" applyFill="1" applyBorder="1" applyAlignment="1">
      <alignment horizontal="center"/>
    </xf>
    <xf numFmtId="0" fontId="17" fillId="32" borderId="1" xfId="0" applyFont="1" applyFill="1" applyBorder="1" applyAlignment="1">
      <alignment horizontal="center" vertical="center"/>
    </xf>
    <xf numFmtId="164" fontId="14" fillId="32" borderId="1" xfId="0" applyNumberFormat="1" applyFont="1" applyFill="1" applyBorder="1" applyAlignment="1">
      <alignment horizontal="center" vertical="center"/>
    </xf>
    <xf numFmtId="164" fontId="14" fillId="33" borderId="7" xfId="0" applyNumberFormat="1" applyFont="1" applyFill="1" applyBorder="1" applyAlignment="1">
      <alignment horizontal="center" vertical="center"/>
    </xf>
    <xf numFmtId="0" fontId="17" fillId="33" borderId="5" xfId="0" applyFont="1" applyFill="1" applyBorder="1" applyAlignment="1">
      <alignment horizontal="center"/>
    </xf>
    <xf numFmtId="164" fontId="14" fillId="32" borderId="5" xfId="0" applyNumberFormat="1" applyFont="1" applyFill="1" applyBorder="1" applyAlignment="1">
      <alignment horizontal="center" vertical="center"/>
    </xf>
    <xf numFmtId="164" fontId="14" fillId="33" borderId="5" xfId="0" applyNumberFormat="1" applyFont="1" applyFill="1" applyBorder="1" applyAlignment="1">
      <alignment horizontal="center" vertical="center"/>
    </xf>
    <xf numFmtId="164" fontId="14" fillId="33" borderId="1" xfId="0" applyNumberFormat="1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5" fillId="0" borderId="0" xfId="0" applyFont="1" applyAlignment="1">
      <alignment horizontal="left"/>
    </xf>
    <xf numFmtId="0" fontId="17" fillId="32" borderId="5" xfId="0" applyFont="1" applyFill="1" applyBorder="1" applyAlignment="1">
      <alignment horizontal="center"/>
    </xf>
    <xf numFmtId="164" fontId="14" fillId="33" borderId="5" xfId="0" applyNumberFormat="1" applyFont="1" applyFill="1" applyBorder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13" fillId="20" borderId="6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/>
    <xf numFmtId="0" fontId="1" fillId="0" borderId="0" xfId="0" applyFont="1" applyAlignment="1"/>
    <xf numFmtId="0" fontId="11" fillId="0" borderId="0" xfId="0" applyFont="1" applyAlignment="1"/>
    <xf numFmtId="0" fontId="2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0EE90"/>
      <rgbColor rgb="FFFFFF99"/>
      <rgbColor rgb="FFADD8E6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zoomScaleNormal="100" workbookViewId="0">
      <selection activeCell="H18" sqref="H18"/>
    </sheetView>
  </sheetViews>
  <sheetFormatPr defaultColWidth="8.6640625" defaultRowHeight="14.4"/>
  <cols>
    <col min="1" max="1" width="24" customWidth="1"/>
    <col min="2" max="7" width="8" customWidth="1"/>
    <col min="8" max="12" width="9" customWidth="1"/>
    <col min="13" max="13" width="12.21875" customWidth="1"/>
    <col min="14" max="14" width="13.77734375" customWidth="1"/>
    <col min="15" max="15" width="9" customWidth="1"/>
  </cols>
  <sheetData>
    <row r="1" spans="1:17" ht="15" customHeight="1">
      <c r="A1" s="2"/>
      <c r="B1" s="2"/>
      <c r="C1" s="2"/>
      <c r="D1" s="91"/>
      <c r="E1" s="90"/>
      <c r="F1" s="90"/>
      <c r="G1" s="90"/>
      <c r="H1" s="90"/>
      <c r="I1" s="93" t="s">
        <v>18</v>
      </c>
      <c r="J1" s="93"/>
      <c r="K1" s="93"/>
      <c r="L1" s="90"/>
      <c r="M1" s="2"/>
      <c r="N1" s="91"/>
      <c r="O1" s="90"/>
      <c r="P1" s="90"/>
    </row>
    <row r="2" spans="1:17" ht="17.25" customHeight="1">
      <c r="A2" s="3"/>
      <c r="B2" s="92"/>
      <c r="C2" s="90"/>
      <c r="D2" s="3"/>
      <c r="E2" s="3"/>
      <c r="F2" s="3"/>
      <c r="G2" s="3"/>
      <c r="I2" s="93"/>
      <c r="J2" s="93"/>
      <c r="K2" s="93"/>
    </row>
    <row r="4" spans="1:17" ht="19.5" customHeight="1">
      <c r="A4" s="47" t="s">
        <v>9</v>
      </c>
      <c r="B4" s="46">
        <v>0.1</v>
      </c>
      <c r="C4" s="5">
        <v>1</v>
      </c>
      <c r="D4" s="5">
        <v>0.5</v>
      </c>
      <c r="N4" s="18" t="s">
        <v>2</v>
      </c>
      <c r="O4" s="70" t="s">
        <v>3</v>
      </c>
    </row>
    <row r="5" spans="1:17" ht="15" customHeight="1">
      <c r="L5" s="1" t="s">
        <v>6</v>
      </c>
      <c r="M5" s="9">
        <f>MMULT(B8:G8,B16:B21)</f>
        <v>-3.1400000000000004E-2</v>
      </c>
      <c r="N5" s="10">
        <f>M5+B12</f>
        <v>-2.1400000000000002E-2</v>
      </c>
      <c r="O5" s="71">
        <f>1/(1+EXP(-N5))</f>
        <v>0.49465020416448346</v>
      </c>
    </row>
    <row r="6" spans="1:17" ht="19.5" customHeight="1">
      <c r="A6" s="38" t="s">
        <v>11</v>
      </c>
      <c r="B6" s="48">
        <v>1.256</v>
      </c>
      <c r="C6" s="6">
        <v>0.2</v>
      </c>
      <c r="D6" s="6">
        <v>0.8</v>
      </c>
      <c r="L6" s="1" t="s">
        <v>7</v>
      </c>
      <c r="M6" s="9">
        <f>MMULT(B9:G9,B16:B21)</f>
        <v>-0.13100000000000001</v>
      </c>
      <c r="N6" s="10">
        <f>M6+C12</f>
        <v>-8.1000000000000003E-2</v>
      </c>
      <c r="O6" s="71">
        <f>1/(1+EXP(-N6))</f>
        <v>0.47976106442818539</v>
      </c>
    </row>
    <row r="7" spans="1:17" ht="15" customHeight="1">
      <c r="L7" s="1" t="s">
        <v>8</v>
      </c>
      <c r="M7" s="9">
        <f>MMULT(B10:G10,B16:B21)</f>
        <v>2.9630000000000001</v>
      </c>
      <c r="N7" s="10">
        <f>M7+D12</f>
        <v>2.9729999999999999</v>
      </c>
      <c r="O7" s="72">
        <f>1/(1+EXP(-N7))</f>
        <v>0.95133934358635697</v>
      </c>
    </row>
    <row r="8" spans="1:17" ht="15" customHeight="1">
      <c r="A8" s="36" t="s">
        <v>19</v>
      </c>
      <c r="B8" s="49">
        <v>0</v>
      </c>
      <c r="C8" s="7">
        <v>0</v>
      </c>
      <c r="D8" s="7">
        <v>0</v>
      </c>
      <c r="E8" s="7">
        <v>-2.5000000000000001E-2</v>
      </c>
      <c r="F8" s="7">
        <v>0</v>
      </c>
      <c r="G8" s="7">
        <v>0</v>
      </c>
      <c r="O8" s="52" t="s">
        <v>20</v>
      </c>
    </row>
    <row r="9" spans="1:17" ht="15" customHeight="1">
      <c r="B9" s="7">
        <v>-0.03</v>
      </c>
      <c r="C9" s="7">
        <v>0.9</v>
      </c>
      <c r="D9" s="7">
        <v>-0.8</v>
      </c>
      <c r="E9" s="7">
        <v>-0.5</v>
      </c>
      <c r="F9" s="7">
        <v>0</v>
      </c>
      <c r="G9" s="7">
        <v>0</v>
      </c>
    </row>
    <row r="10" spans="1:17" ht="15" customHeight="1">
      <c r="B10" s="7">
        <v>7.0000000000000007E-2</v>
      </c>
      <c r="C10" s="7">
        <v>0.6</v>
      </c>
      <c r="D10" s="7">
        <v>0.2</v>
      </c>
      <c r="E10" s="7">
        <v>1</v>
      </c>
      <c r="F10" s="7">
        <v>1</v>
      </c>
      <c r="G10" s="7">
        <v>1</v>
      </c>
      <c r="K10" s="4"/>
      <c r="L10" s="4"/>
      <c r="M10" s="4"/>
      <c r="N10" s="4"/>
      <c r="O10" s="4"/>
    </row>
    <row r="12" spans="1:17" ht="15" customHeight="1">
      <c r="A12" s="34" t="s">
        <v>21</v>
      </c>
      <c r="B12" s="50">
        <v>0.01</v>
      </c>
      <c r="C12" s="8">
        <v>0.05</v>
      </c>
      <c r="D12" s="8">
        <v>0.01</v>
      </c>
    </row>
    <row r="13" spans="1:17" ht="14.4" customHeight="1">
      <c r="M13" s="85" t="s">
        <v>22</v>
      </c>
      <c r="N13" s="83"/>
      <c r="O13" s="83"/>
      <c r="P13" s="83"/>
      <c r="Q13" s="83"/>
    </row>
    <row r="14" spans="1:17" ht="15" customHeight="1">
      <c r="A14" s="51" t="s">
        <v>23</v>
      </c>
      <c r="B14" s="39">
        <f>B4</f>
        <v>0.1</v>
      </c>
      <c r="C14" s="16">
        <f>C4</f>
        <v>1</v>
      </c>
      <c r="D14" s="16">
        <f>D4</f>
        <v>0.5</v>
      </c>
      <c r="E14" s="16">
        <f>B6</f>
        <v>1.256</v>
      </c>
      <c r="F14" s="16">
        <f>C6</f>
        <v>0.2</v>
      </c>
      <c r="G14" s="16">
        <f>D6</f>
        <v>0.8</v>
      </c>
      <c r="M14" s="83"/>
      <c r="N14" s="83"/>
      <c r="O14" s="83"/>
      <c r="P14" s="83"/>
      <c r="Q14" s="83"/>
    </row>
    <row r="16" spans="1:17" ht="15" customHeight="1">
      <c r="A16" s="42" t="s">
        <v>17</v>
      </c>
      <c r="B16" s="41">
        <f>B14</f>
        <v>0.1</v>
      </c>
    </row>
    <row r="17" spans="2:2" ht="15" customHeight="1">
      <c r="B17" s="17">
        <f>C14</f>
        <v>1</v>
      </c>
    </row>
    <row r="18" spans="2:2" ht="15" customHeight="1">
      <c r="B18" s="17">
        <f>D14</f>
        <v>0.5</v>
      </c>
    </row>
    <row r="19" spans="2:2" ht="15" customHeight="1">
      <c r="B19" s="17">
        <f>E14</f>
        <v>1.256</v>
      </c>
    </row>
    <row r="20" spans="2:2" ht="15" customHeight="1">
      <c r="B20" s="17">
        <f>F14</f>
        <v>0.2</v>
      </c>
    </row>
    <row r="21" spans="2:2" ht="15" customHeight="1">
      <c r="B21" s="17">
        <f>G14</f>
        <v>0.8</v>
      </c>
    </row>
  </sheetData>
  <mergeCells count="2">
    <mergeCell ref="M13:Q14"/>
    <mergeCell ref="I1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4"/>
  <sheetViews>
    <sheetView zoomScale="90" zoomScaleNormal="90" workbookViewId="0">
      <selection activeCell="G4" sqref="G4"/>
    </sheetView>
  </sheetViews>
  <sheetFormatPr defaultColWidth="8.6640625" defaultRowHeight="14.4"/>
  <cols>
    <col min="1" max="1" width="24" customWidth="1"/>
    <col min="2" max="5" width="8" customWidth="1"/>
    <col min="6" max="6" width="12.44140625" customWidth="1"/>
    <col min="7" max="7" width="8" customWidth="1"/>
    <col min="8" max="10" width="9" customWidth="1"/>
    <col min="11" max="11" width="12" customWidth="1"/>
    <col min="12" max="12" width="10.44140625" customWidth="1"/>
    <col min="13" max="13" width="9" customWidth="1"/>
    <col min="14" max="14" width="12.109375" customWidth="1"/>
    <col min="15" max="15" width="9" customWidth="1"/>
    <col min="16" max="16" width="13.44140625" customWidth="1"/>
    <col min="17" max="17" width="10" customWidth="1"/>
    <col min="18" max="18" width="13.33203125" customWidth="1"/>
    <col min="19" max="21" width="10" customWidth="1"/>
  </cols>
  <sheetData>
    <row r="1" spans="1:20" ht="15" customHeight="1">
      <c r="A1" s="2"/>
      <c r="B1" s="2"/>
      <c r="C1" s="2"/>
      <c r="D1" s="2"/>
      <c r="E1" s="91"/>
      <c r="F1" s="90"/>
      <c r="G1" s="90"/>
      <c r="H1" s="90"/>
      <c r="I1" s="84" t="s">
        <v>24</v>
      </c>
      <c r="J1" s="84"/>
      <c r="K1" s="84"/>
      <c r="L1" s="90"/>
      <c r="M1" s="90"/>
      <c r="N1" s="2"/>
      <c r="O1" s="91"/>
      <c r="P1" s="90"/>
      <c r="Q1" s="90"/>
    </row>
    <row r="2" spans="1:20" ht="17.25" customHeight="1">
      <c r="A2" s="3"/>
      <c r="B2" s="89"/>
      <c r="C2" s="90"/>
      <c r="D2" s="3"/>
      <c r="E2" s="3"/>
      <c r="F2" s="3"/>
      <c r="G2" s="3"/>
      <c r="I2" s="84"/>
      <c r="J2" s="84"/>
      <c r="K2" s="84"/>
    </row>
    <row r="3" spans="1:20">
      <c r="N3" s="78"/>
      <c r="O3" s="78"/>
      <c r="P3" s="79"/>
      <c r="Q3" s="21"/>
    </row>
    <row r="4" spans="1:20" ht="15" customHeight="1">
      <c r="B4" s="87" t="s">
        <v>20</v>
      </c>
      <c r="D4" s="87" t="s">
        <v>27</v>
      </c>
      <c r="F4" s="88" t="s">
        <v>30</v>
      </c>
      <c r="K4" s="27" t="s">
        <v>2</v>
      </c>
      <c r="L4" s="70" t="s">
        <v>3</v>
      </c>
      <c r="N4" s="20"/>
      <c r="O4" s="19"/>
      <c r="P4" s="28" t="s">
        <v>2</v>
      </c>
      <c r="Q4" s="73" t="s">
        <v>25</v>
      </c>
      <c r="S4" s="26" t="s">
        <v>26</v>
      </c>
      <c r="T4" s="26" t="s">
        <v>1</v>
      </c>
    </row>
    <row r="5" spans="1:20" ht="15" customHeight="1">
      <c r="B5" s="11">
        <f>'Forget Gate'!O5</f>
        <v>0.49465020416448346</v>
      </c>
      <c r="D5" s="12">
        <v>3.3000000000000002E-2</v>
      </c>
      <c r="F5" s="12">
        <f>B5*D5</f>
        <v>1.6323456737427956E-2</v>
      </c>
      <c r="I5" s="1" t="s">
        <v>6</v>
      </c>
      <c r="J5" s="9">
        <f>MMULT(B15:G15,B23:B28)</f>
        <v>1.0409199999999998</v>
      </c>
      <c r="K5" s="10">
        <f>J5+B19</f>
        <v>1.1949199999999998</v>
      </c>
      <c r="L5" s="71">
        <f>1/(1+EXP(-K5))</f>
        <v>0.76761984725776045</v>
      </c>
      <c r="N5" s="80" t="s">
        <v>6</v>
      </c>
      <c r="O5" s="22">
        <f>MMULT(I15:N15,B23:B28)</f>
        <v>0.37580000000000002</v>
      </c>
      <c r="P5" s="23">
        <f>O5+J19</f>
        <v>0.57580000000000009</v>
      </c>
      <c r="Q5" s="74">
        <f>TANH(P5)</f>
        <v>0.51960608425137988</v>
      </c>
      <c r="S5" s="29">
        <f>L5*Q5</f>
        <v>0.39885994302724725</v>
      </c>
      <c r="T5" s="30">
        <f>F5+S5</f>
        <v>0.41518339976467522</v>
      </c>
    </row>
    <row r="6" spans="1:20" ht="15" customHeight="1">
      <c r="B6" s="11">
        <f>'Forget Gate'!O6</f>
        <v>0.47976106442818539</v>
      </c>
      <c r="D6" s="12">
        <v>0.58899999999999997</v>
      </c>
      <c r="F6" s="12">
        <f>B6*D6</f>
        <v>0.28257926694820118</v>
      </c>
      <c r="I6" s="1" t="s">
        <v>7</v>
      </c>
      <c r="J6" s="9">
        <f>MMULT(B16:G16,B23:B28)</f>
        <v>-1.0880879999999999</v>
      </c>
      <c r="K6" s="10">
        <f>J6+C19</f>
        <v>-0.92808799999999991</v>
      </c>
      <c r="L6" s="71">
        <f>1/(1+EXP(-K6))</f>
        <v>0.28331277880275296</v>
      </c>
      <c r="N6" s="80" t="s">
        <v>7</v>
      </c>
      <c r="O6" s="22">
        <f>MMULT(I16:N16,B23:B28)</f>
        <v>0.47075600000000006</v>
      </c>
      <c r="P6" s="23">
        <f>O6+K19</f>
        <v>0.48075600000000007</v>
      </c>
      <c r="Q6" s="74">
        <f>TANH(P6)</f>
        <v>0.44684886112600974</v>
      </c>
      <c r="S6" s="29">
        <f>L6*Q6</f>
        <v>0.12659799255045528</v>
      </c>
      <c r="T6" s="30">
        <f>F6+S6</f>
        <v>0.40917725949865646</v>
      </c>
    </row>
    <row r="7" spans="1:20" ht="15" customHeight="1">
      <c r="B7" s="11">
        <f>'Forget Gate'!O7</f>
        <v>0.95133934358635697</v>
      </c>
      <c r="D7" s="12">
        <v>0.92400000000000004</v>
      </c>
      <c r="F7" s="12">
        <f>B7*D7</f>
        <v>0.87903755347379386</v>
      </c>
      <c r="I7" s="1" t="s">
        <v>8</v>
      </c>
      <c r="J7" s="9">
        <f>MMULT(B17:G17,B23:B28)</f>
        <v>0</v>
      </c>
      <c r="K7" s="10">
        <f>J7+D19</f>
        <v>0.01</v>
      </c>
      <c r="L7" s="76">
        <f>1/(1+EXP(-K7))</f>
        <v>0.50249997916687494</v>
      </c>
      <c r="N7" s="80" t="s">
        <v>8</v>
      </c>
      <c r="O7" s="22">
        <f>MMULT(I17:N17,B23:B28)</f>
        <v>-0.13333599999999993</v>
      </c>
      <c r="P7" s="23">
        <f>O7+L19</f>
        <v>-0.10333599999999993</v>
      </c>
      <c r="Q7" s="75">
        <f>TANH(P7)</f>
        <v>-0.10296974571570676</v>
      </c>
      <c r="S7" s="29">
        <f>L7*Q7</f>
        <v>-5.1742295076961056E-2</v>
      </c>
      <c r="T7" s="30">
        <f>F7+S7</f>
        <v>0.82729525839683282</v>
      </c>
    </row>
    <row r="8" spans="1:20" ht="15" customHeight="1">
      <c r="I8" s="4"/>
      <c r="J8" s="4"/>
      <c r="K8" s="4"/>
      <c r="L8" s="77" t="s">
        <v>28</v>
      </c>
      <c r="N8" s="4"/>
      <c r="Q8" s="25" t="s">
        <v>29</v>
      </c>
    </row>
    <row r="9" spans="1:20" ht="15" customHeight="1">
      <c r="L9" s="4"/>
      <c r="M9" s="4"/>
      <c r="N9" s="4"/>
      <c r="O9" s="4"/>
      <c r="P9" s="4"/>
    </row>
    <row r="10" spans="1:20" ht="15" customHeight="1">
      <c r="L10" s="4"/>
      <c r="M10" s="4"/>
      <c r="N10" s="4"/>
      <c r="O10" s="4"/>
      <c r="P10" s="4"/>
    </row>
    <row r="11" spans="1:20">
      <c r="A11" s="32" t="s">
        <v>9</v>
      </c>
      <c r="B11" s="31">
        <f>'Forget Gate'!B4</f>
        <v>0.1</v>
      </c>
      <c r="C11" s="11">
        <f>'Forget Gate'!C4</f>
        <v>1</v>
      </c>
      <c r="D11" s="11">
        <f>'Forget Gate'!D4</f>
        <v>0.5</v>
      </c>
    </row>
    <row r="13" spans="1:20" ht="15" customHeight="1">
      <c r="A13" s="34" t="s">
        <v>11</v>
      </c>
      <c r="B13" s="33">
        <f>'Forget Gate'!B6</f>
        <v>1.256</v>
      </c>
      <c r="C13" s="13">
        <f>'Forget Gate'!C6</f>
        <v>0.2</v>
      </c>
      <c r="D13" s="13">
        <f>'Forget Gate'!D6</f>
        <v>0.8</v>
      </c>
      <c r="P13" s="84" t="s">
        <v>31</v>
      </c>
      <c r="Q13" s="83"/>
      <c r="R13" s="83"/>
      <c r="S13" s="83"/>
    </row>
    <row r="14" spans="1:20" ht="15" customHeight="1">
      <c r="I14" s="43" t="s">
        <v>34</v>
      </c>
      <c r="P14" s="83"/>
      <c r="Q14" s="83"/>
      <c r="R14" s="83"/>
      <c r="S14" s="83"/>
    </row>
    <row r="15" spans="1:20" ht="15" customHeight="1">
      <c r="A15" s="36" t="s">
        <v>35</v>
      </c>
      <c r="B15" s="35">
        <v>0.65900000000000003</v>
      </c>
      <c r="C15" s="14">
        <v>0.111</v>
      </c>
      <c r="D15" s="14">
        <v>0.28699999999999998</v>
      </c>
      <c r="E15" s="14">
        <v>0.34499999999999997</v>
      </c>
      <c r="F15" s="14">
        <v>0</v>
      </c>
      <c r="G15" s="14">
        <v>0.35899999999999999</v>
      </c>
      <c r="I15" s="44">
        <v>0.35599999999999998</v>
      </c>
      <c r="J15" s="44">
        <v>0.124</v>
      </c>
      <c r="K15" s="44">
        <v>0.222</v>
      </c>
      <c r="L15" s="44">
        <v>2.5000000000000001E-2</v>
      </c>
      <c r="M15" s="44">
        <v>0.36499999999999999</v>
      </c>
      <c r="N15" s="44">
        <v>1E-3</v>
      </c>
      <c r="P15" s="86" t="s">
        <v>32</v>
      </c>
      <c r="Q15" s="83"/>
      <c r="R15" s="83"/>
      <c r="S15" s="83"/>
    </row>
    <row r="16" spans="1:20">
      <c r="B16" s="14">
        <v>-0.23599999999999999</v>
      </c>
      <c r="C16" s="14">
        <v>-1</v>
      </c>
      <c r="D16" s="14">
        <v>0.57999999999999996</v>
      </c>
      <c r="E16" s="14">
        <v>-0.123</v>
      </c>
      <c r="F16" s="14">
        <v>-1</v>
      </c>
      <c r="G16" s="14">
        <v>0</v>
      </c>
      <c r="I16" s="44">
        <v>0.48499999999999999</v>
      </c>
      <c r="J16" s="44">
        <v>0.54800000000000004</v>
      </c>
      <c r="K16" s="44">
        <v>0.32400000000000001</v>
      </c>
      <c r="L16" s="44">
        <v>1E-3</v>
      </c>
      <c r="M16" s="44">
        <v>-0.14499999999999999</v>
      </c>
      <c r="N16" s="44">
        <v>-0.32500000000000001</v>
      </c>
      <c r="P16" s="83"/>
      <c r="Q16" s="83"/>
      <c r="R16" s="83"/>
      <c r="S16" s="83"/>
    </row>
    <row r="17" spans="1:19" ht="15" customHeight="1"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I17" s="44">
        <v>0.125</v>
      </c>
      <c r="J17" s="44">
        <v>0.25700000000000001</v>
      </c>
      <c r="K17" s="44">
        <v>-0.36499999999999999</v>
      </c>
      <c r="L17" s="44">
        <v>-0.25600000000000001</v>
      </c>
      <c r="M17" s="44">
        <v>-0.122</v>
      </c>
      <c r="N17" s="44">
        <v>0.157</v>
      </c>
      <c r="P17" s="84" t="s">
        <v>33</v>
      </c>
      <c r="Q17" s="83"/>
      <c r="R17" s="83"/>
      <c r="S17" s="83"/>
    </row>
    <row r="18" spans="1:19">
      <c r="P18" s="83"/>
      <c r="Q18" s="83"/>
      <c r="R18" s="83"/>
      <c r="S18" s="83"/>
    </row>
    <row r="19" spans="1:19" ht="15" customHeight="1">
      <c r="A19" s="38" t="s">
        <v>36</v>
      </c>
      <c r="B19" s="37">
        <v>0.154</v>
      </c>
      <c r="C19" s="15">
        <v>0.16</v>
      </c>
      <c r="D19" s="15">
        <v>0.01</v>
      </c>
      <c r="I19" s="38" t="s">
        <v>37</v>
      </c>
      <c r="J19" s="45">
        <v>0.2</v>
      </c>
      <c r="K19" s="45">
        <v>0.01</v>
      </c>
      <c r="L19" s="45">
        <v>0.03</v>
      </c>
    </row>
    <row r="20" spans="1:19" ht="15" customHeight="1"/>
    <row r="21" spans="1:19" ht="15" customHeight="1">
      <c r="A21" s="40" t="s">
        <v>16</v>
      </c>
      <c r="B21" s="39">
        <f>B11</f>
        <v>0.1</v>
      </c>
      <c r="C21" s="16">
        <f>C11</f>
        <v>1</v>
      </c>
      <c r="D21" s="16">
        <f>D11</f>
        <v>0.5</v>
      </c>
      <c r="E21" s="16">
        <f>B13</f>
        <v>1.256</v>
      </c>
      <c r="F21" s="16">
        <f>C13</f>
        <v>0.2</v>
      </c>
      <c r="G21" s="16">
        <f>D13</f>
        <v>0.8</v>
      </c>
    </row>
    <row r="22" spans="1:19" ht="15" customHeight="1"/>
    <row r="23" spans="1:19" ht="15" customHeight="1">
      <c r="A23" s="42" t="s">
        <v>17</v>
      </c>
      <c r="B23" s="41">
        <f>B21</f>
        <v>0.1</v>
      </c>
    </row>
    <row r="24" spans="1:19">
      <c r="B24" s="17">
        <f>C21</f>
        <v>1</v>
      </c>
    </row>
    <row r="25" spans="1:19" ht="15" customHeight="1">
      <c r="B25" s="17">
        <f>D21</f>
        <v>0.5</v>
      </c>
    </row>
    <row r="26" spans="1:19">
      <c r="B26" s="17">
        <f>E21</f>
        <v>1.256</v>
      </c>
    </row>
    <row r="27" spans="1:19" ht="15" customHeight="1">
      <c r="B27" s="17">
        <f>F21</f>
        <v>0.2</v>
      </c>
    </row>
    <row r="28" spans="1:19">
      <c r="B28" s="17">
        <f>G21</f>
        <v>0.8</v>
      </c>
    </row>
    <row r="29" spans="1:19" ht="15" customHeight="1"/>
    <row r="30" spans="1:19" ht="15" customHeight="1"/>
    <row r="31" spans="1:19" ht="15" customHeight="1"/>
    <row r="32" spans="1:19" ht="15" customHeight="1"/>
    <row r="33" ht="15" customHeight="1"/>
    <row r="34" ht="15" customHeight="1"/>
  </sheetData>
  <mergeCells count="4">
    <mergeCell ref="P17:S18"/>
    <mergeCell ref="I1:K2"/>
    <mergeCell ref="P15:S16"/>
    <mergeCell ref="P13:S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5"/>
  <sheetViews>
    <sheetView zoomScaleNormal="100" workbookViewId="0">
      <selection activeCell="J14" sqref="J14"/>
    </sheetView>
  </sheetViews>
  <sheetFormatPr defaultColWidth="8.6640625" defaultRowHeight="14.4"/>
  <cols>
    <col min="1" max="1" width="26" customWidth="1"/>
    <col min="2" max="7" width="8" customWidth="1"/>
    <col min="8" max="12" width="9" customWidth="1"/>
    <col min="13" max="13" width="12.6640625" customWidth="1"/>
    <col min="14" max="14" width="9" customWidth="1"/>
    <col min="15" max="16" width="10" customWidth="1"/>
  </cols>
  <sheetData>
    <row r="1" spans="1:17" ht="15" customHeight="1">
      <c r="A1" s="2"/>
      <c r="B1" s="2"/>
      <c r="C1" s="2"/>
      <c r="D1" s="2"/>
      <c r="E1" s="91"/>
      <c r="F1" s="90"/>
      <c r="G1" s="90"/>
      <c r="H1" s="90"/>
      <c r="I1" s="84" t="s">
        <v>0</v>
      </c>
      <c r="J1" s="84"/>
      <c r="K1" s="84"/>
      <c r="L1" s="90"/>
      <c r="M1" s="90"/>
      <c r="N1" s="2"/>
      <c r="O1" s="91"/>
      <c r="P1" s="90"/>
      <c r="Q1" s="90"/>
    </row>
    <row r="2" spans="1:17" ht="17.25" customHeight="1">
      <c r="A2" s="3"/>
      <c r="B2" s="89"/>
      <c r="C2" s="90"/>
      <c r="D2" s="90"/>
      <c r="E2" s="90"/>
      <c r="F2" s="3"/>
      <c r="G2" s="3"/>
      <c r="I2" s="84"/>
      <c r="J2" s="84"/>
      <c r="K2" s="84"/>
    </row>
    <row r="4" spans="1:17" ht="15" customHeight="1">
      <c r="A4" s="53" t="s">
        <v>1</v>
      </c>
      <c r="B4" s="54">
        <f>'Input Gate'!T5</f>
        <v>0.41518339976467522</v>
      </c>
      <c r="M4" s="28" t="s">
        <v>2</v>
      </c>
      <c r="N4" s="81" t="s">
        <v>3</v>
      </c>
      <c r="P4" s="26" t="s">
        <v>4</v>
      </c>
      <c r="Q4" s="26" t="s">
        <v>5</v>
      </c>
    </row>
    <row r="5" spans="1:17" ht="15" customHeight="1">
      <c r="B5" s="54">
        <f>'Input Gate'!T6</f>
        <v>0.40917725949865646</v>
      </c>
      <c r="K5" s="1" t="s">
        <v>6</v>
      </c>
      <c r="L5" s="63">
        <f>MMULT(B12:G12,B20:B25)</f>
        <v>0.2359</v>
      </c>
      <c r="M5" s="64">
        <f>L5+B16</f>
        <v>0.2409</v>
      </c>
      <c r="N5" s="74">
        <f>1/(1+EXP(-M5))</f>
        <v>0.55993542818539921</v>
      </c>
      <c r="P5" s="66">
        <f>TANH(B4)</f>
        <v>0.3928649641382112</v>
      </c>
      <c r="Q5" s="68">
        <f>N5*P5</f>
        <v>0.21997901191377078</v>
      </c>
    </row>
    <row r="6" spans="1:17" ht="15" customHeight="1">
      <c r="B6" s="54">
        <f>'Input Gate'!T7</f>
        <v>0.82729525839683282</v>
      </c>
      <c r="K6" s="1" t="s">
        <v>7</v>
      </c>
      <c r="L6" s="63">
        <f>MMULT(B13:G13,B20:B25)</f>
        <v>0.40724000000000005</v>
      </c>
      <c r="M6" s="64">
        <f>L6+C16</f>
        <v>0.40824000000000005</v>
      </c>
      <c r="N6" s="74">
        <f>1/(1+EXP(-M6))</f>
        <v>0.60066578887760891</v>
      </c>
      <c r="P6" s="66">
        <f>TANH(B5)</f>
        <v>0.3877738771373434</v>
      </c>
      <c r="Q6" s="68">
        <f>N6*P6</f>
        <v>0.23292250181683136</v>
      </c>
    </row>
    <row r="7" spans="1:17" ht="15" customHeight="1">
      <c r="K7" s="1" t="s">
        <v>8</v>
      </c>
      <c r="L7" s="63">
        <f>MMULT(B14:G14,B20:B25)</f>
        <v>0.50194800000000006</v>
      </c>
      <c r="M7" s="64">
        <f>L7+D16</f>
        <v>0.53294800000000009</v>
      </c>
      <c r="N7" s="82">
        <f>1/(1+EXP(-M7))</f>
        <v>0.63017042330845618</v>
      </c>
      <c r="P7" s="67">
        <f>TANH(B6)</f>
        <v>0.67902101422202066</v>
      </c>
      <c r="Q7" s="69">
        <f>N7*P7</f>
        <v>0.427898959967628</v>
      </c>
    </row>
    <row r="8" spans="1:17" ht="15" customHeight="1">
      <c r="A8" s="32" t="s">
        <v>9</v>
      </c>
      <c r="B8" s="55">
        <f>'Forget Gate'!B4</f>
        <v>0.1</v>
      </c>
      <c r="C8" s="55">
        <f>'Forget Gate'!C4</f>
        <v>1</v>
      </c>
      <c r="D8" s="55">
        <f>'Forget Gate'!D4</f>
        <v>0.5</v>
      </c>
      <c r="N8" s="65" t="s">
        <v>10</v>
      </c>
    </row>
    <row r="10" spans="1:17" ht="15" customHeight="1">
      <c r="A10" s="56" t="s">
        <v>11</v>
      </c>
      <c r="B10" s="57">
        <f>'Forget Gate'!B6</f>
        <v>1.256</v>
      </c>
      <c r="C10" s="57">
        <f>'Forget Gate'!C6</f>
        <v>0.2</v>
      </c>
      <c r="D10" s="57">
        <f>'Forget Gate'!D6</f>
        <v>0.8</v>
      </c>
      <c r="H10" s="62"/>
      <c r="I10" s="4"/>
      <c r="J10" s="4"/>
      <c r="K10" s="4"/>
      <c r="L10" s="4"/>
      <c r="M10" s="4"/>
      <c r="N10" s="4"/>
      <c r="O10" s="4"/>
    </row>
    <row r="11" spans="1:17" ht="15" customHeight="1">
      <c r="H11" s="62"/>
      <c r="I11" s="4"/>
      <c r="J11" s="4"/>
      <c r="K11" s="4"/>
      <c r="L11" s="4"/>
      <c r="M11" s="4"/>
      <c r="N11" s="4"/>
      <c r="O11" s="4"/>
    </row>
    <row r="12" spans="1:17" ht="15" customHeight="1">
      <c r="A12" s="58" t="s">
        <v>12</v>
      </c>
      <c r="B12" s="59">
        <v>3.3000000000000002E-2</v>
      </c>
      <c r="C12" s="59">
        <v>0.21299999999999999</v>
      </c>
      <c r="D12" s="59">
        <v>0</v>
      </c>
      <c r="E12" s="59">
        <v>0</v>
      </c>
      <c r="F12" s="59">
        <v>6.0000000000000001E-3</v>
      </c>
      <c r="G12" s="59">
        <v>2.3E-2</v>
      </c>
    </row>
    <row r="13" spans="1:17" ht="15" customHeight="1">
      <c r="B13" s="59">
        <v>0</v>
      </c>
      <c r="C13" s="59">
        <v>6.8000000000000005E-2</v>
      </c>
      <c r="D13" s="59">
        <v>4.8000000000000001E-2</v>
      </c>
      <c r="E13" s="59">
        <v>0.215</v>
      </c>
      <c r="F13" s="59">
        <v>2E-3</v>
      </c>
      <c r="G13" s="59">
        <v>5.6000000000000001E-2</v>
      </c>
    </row>
    <row r="14" spans="1:17" ht="15" customHeight="1">
      <c r="B14" s="59">
        <v>1.2E-2</v>
      </c>
      <c r="C14" s="59">
        <v>0</v>
      </c>
      <c r="D14" s="59">
        <v>0.16500000000000001</v>
      </c>
      <c r="E14" s="59">
        <v>0.33300000000000002</v>
      </c>
      <c r="F14" s="59">
        <v>0</v>
      </c>
      <c r="G14" s="59">
        <v>0</v>
      </c>
      <c r="N14" s="84" t="s">
        <v>13</v>
      </c>
      <c r="O14" s="83"/>
      <c r="P14" s="83"/>
      <c r="Q14" s="83"/>
    </row>
    <row r="15" spans="1:17">
      <c r="N15" s="83"/>
      <c r="O15" s="83"/>
      <c r="P15" s="83"/>
      <c r="Q15" s="83"/>
    </row>
    <row r="16" spans="1:17" ht="15" customHeight="1">
      <c r="A16" s="56" t="s">
        <v>14</v>
      </c>
      <c r="B16" s="45">
        <v>5.0000000000000001E-3</v>
      </c>
      <c r="C16" s="45">
        <v>1E-3</v>
      </c>
      <c r="D16" s="45">
        <v>3.1E-2</v>
      </c>
      <c r="N16" s="84" t="s">
        <v>15</v>
      </c>
      <c r="O16" s="83"/>
      <c r="P16" s="83"/>
      <c r="Q16" s="83"/>
    </row>
    <row r="17" spans="1:17">
      <c r="N17" s="83"/>
      <c r="O17" s="83"/>
      <c r="P17" s="83"/>
      <c r="Q17" s="83"/>
    </row>
    <row r="18" spans="1:17" ht="15" customHeight="1">
      <c r="A18" s="51" t="s">
        <v>16</v>
      </c>
      <c r="B18" s="60">
        <f>B8</f>
        <v>0.1</v>
      </c>
      <c r="C18" s="60">
        <f>C8</f>
        <v>1</v>
      </c>
      <c r="D18" s="60">
        <f>D8</f>
        <v>0.5</v>
      </c>
      <c r="E18" s="60">
        <f>B10</f>
        <v>1.256</v>
      </c>
      <c r="F18" s="60">
        <f>C10</f>
        <v>0.2</v>
      </c>
      <c r="G18" s="60">
        <f>D10</f>
        <v>0.8</v>
      </c>
    </row>
    <row r="20" spans="1:17" ht="15" customHeight="1">
      <c r="A20" s="61" t="s">
        <v>17</v>
      </c>
      <c r="B20" s="24">
        <f>B18</f>
        <v>0.1</v>
      </c>
    </row>
    <row r="21" spans="1:17" ht="15" customHeight="1">
      <c r="B21" s="24">
        <f>C18</f>
        <v>1</v>
      </c>
    </row>
    <row r="22" spans="1:17" ht="15" customHeight="1">
      <c r="B22" s="24">
        <f>D18</f>
        <v>0.5</v>
      </c>
    </row>
    <row r="23" spans="1:17" ht="15" customHeight="1">
      <c r="B23" s="24">
        <f>E18</f>
        <v>1.256</v>
      </c>
    </row>
    <row r="24" spans="1:17" ht="15" customHeight="1">
      <c r="B24" s="24">
        <f>F18</f>
        <v>0.2</v>
      </c>
    </row>
    <row r="25" spans="1:17" ht="15" customHeight="1">
      <c r="B25" s="24">
        <f>G18</f>
        <v>0.8</v>
      </c>
    </row>
  </sheetData>
  <mergeCells count="3">
    <mergeCell ref="N14:Q15"/>
    <mergeCell ref="N16:Q17"/>
    <mergeCell ref="I1:K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Forget Gate</vt:lpstr>
      <vt:lpstr>Input Gate</vt:lpstr>
      <vt:lpstr>Cell State &amp; 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Zubair Abbas</cp:lastModifiedBy>
  <cp:revision>0</cp:revision>
  <dcterms:created xsi:type="dcterms:W3CDTF">2026-05-21T14:37:58Z</dcterms:created>
  <dcterms:modified xsi:type="dcterms:W3CDTF">2026-05-21T20:29:51Z</dcterms:modified>
  <dc:language>en-US</dc:language>
</cp:coreProperties>
</file>